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mc:AlternateContent xmlns:mc="http://schemas.openxmlformats.org/markup-compatibility/2006">
    <mc:Choice Requires="x15">
      <x15ac:absPath xmlns:x15ac="http://schemas.microsoft.com/office/spreadsheetml/2010/11/ac" url="C:\Users\b051333\Desktop\"/>
    </mc:Choice>
  </mc:AlternateContent>
  <xr:revisionPtr revIDLastSave="0" documentId="8_{BA1655B2-8376-4481-B182-7C8808F7EA61}" xr6:coauthVersionLast="36" xr6:coauthVersionMax="36" xr10:uidLastSave="{00000000-0000-0000-0000-000000000000}"/>
  <bookViews>
    <workbookView xWindow="930" yWindow="0" windowWidth="24105" windowHeight="11625" xr2:uid="{8539A0C6-C833-40F5-9973-481095C4A1BE}"/>
  </bookViews>
  <sheets>
    <sheet name="Introduktion" sheetId="2" r:id="rId1"/>
    <sheet name="Resume og scope" sheetId="11" r:id="rId2"/>
    <sheet name="Beskrivelse af aktivitet" sheetId="3" r:id="rId3"/>
    <sheet name="Vurdering af lovlighed" sheetId="7" r:id="rId4"/>
    <sheet name="Evalueringskriterier" sheetId="4" r:id="rId5"/>
    <sheet name="Risici" sheetId="1" r:id="rId6"/>
    <sheet name="Mitigerende foranstaltninger" sheetId="5" r:id="rId7"/>
    <sheet name="Interessentinddragelse" sheetId="9"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1" l="1"/>
  <c r="I7" i="1"/>
  <c r="B94" i="5" l="1"/>
  <c r="B87" i="5"/>
  <c r="A87" i="5"/>
  <c r="A94" i="5"/>
  <c r="I33" i="1"/>
  <c r="M33" i="1"/>
  <c r="I30" i="1"/>
  <c r="M30" i="1"/>
  <c r="A30" i="5" l="1"/>
  <c r="B30" i="5"/>
  <c r="B27" i="5"/>
  <c r="B81" i="5"/>
  <c r="B76" i="5"/>
  <c r="A81" i="5"/>
  <c r="A76" i="5"/>
  <c r="A74" i="5"/>
  <c r="B74" i="5"/>
  <c r="A53" i="5"/>
  <c r="B53" i="5"/>
  <c r="B101" i="5"/>
  <c r="B106" i="5"/>
  <c r="B103" i="5"/>
  <c r="B100" i="5"/>
  <c r="B97" i="5"/>
  <c r="B93" i="5"/>
  <c r="A100" i="5"/>
  <c r="A97" i="5"/>
  <c r="A93" i="5"/>
  <c r="B46" i="5"/>
  <c r="A46" i="5"/>
  <c r="A45" i="5"/>
  <c r="A43" i="5" l="1"/>
  <c r="B43" i="5"/>
  <c r="A19" i="5" l="1"/>
  <c r="A16" i="5"/>
  <c r="B23" i="5"/>
  <c r="B16" i="5"/>
  <c r="B14" i="5"/>
  <c r="B71" i="5" l="1"/>
  <c r="A71" i="5"/>
  <c r="A103" i="5"/>
  <c r="A89" i="5"/>
  <c r="B89" i="5"/>
  <c r="A82" i="5"/>
  <c r="A56" i="5"/>
  <c r="A26" i="5"/>
  <c r="A2" i="5"/>
  <c r="A14" i="5" l="1"/>
  <c r="B83" i="5" l="1"/>
  <c r="B65" i="5"/>
  <c r="B60" i="5"/>
  <c r="B57" i="5"/>
  <c r="B45" i="5"/>
  <c r="B40" i="5"/>
  <c r="B34" i="5"/>
  <c r="B19" i="5"/>
  <c r="B11" i="5"/>
  <c r="B10" i="5"/>
  <c r="B8" i="5"/>
  <c r="A106" i="5"/>
  <c r="A101" i="5"/>
  <c r="A83" i="5"/>
  <c r="A65" i="5"/>
  <c r="A60" i="5"/>
  <c r="A57" i="5"/>
  <c r="A40" i="5"/>
  <c r="A34" i="5"/>
  <c r="A27" i="5"/>
  <c r="A23" i="5"/>
  <c r="A11" i="5"/>
  <c r="A10" i="5"/>
  <c r="A8" i="5"/>
  <c r="B3" i="5"/>
  <c r="A3" i="5"/>
  <c r="Q5" i="4" l="1"/>
  <c r="Q6" i="4"/>
  <c r="Q7" i="4"/>
  <c r="Q8" i="4"/>
  <c r="U9" i="4"/>
  <c r="T9" i="4"/>
  <c r="S9" i="4"/>
  <c r="R9" i="4"/>
  <c r="I32" i="1" l="1"/>
  <c r="M32" i="1"/>
  <c r="M17" i="1"/>
  <c r="I34" i="1"/>
  <c r="M34" i="1"/>
  <c r="I35" i="1"/>
  <c r="I17" i="1"/>
  <c r="M35" i="1"/>
  <c r="I18" i="1"/>
  <c r="M18" i="1"/>
  <c r="I24" i="1"/>
  <c r="M24" i="1"/>
  <c r="I37" i="1"/>
  <c r="M37" i="1"/>
  <c r="M10" i="1"/>
  <c r="M22" i="1"/>
  <c r="M38" i="1"/>
  <c r="I12" i="1"/>
  <c r="I23" i="1"/>
  <c r="I4" i="1"/>
  <c r="I36" i="1"/>
  <c r="M12" i="1"/>
  <c r="M23" i="1"/>
  <c r="M3" i="1"/>
  <c r="I13" i="1"/>
  <c r="I25" i="1"/>
  <c r="I3" i="1"/>
  <c r="I21" i="1"/>
  <c r="M4" i="1"/>
  <c r="M13" i="1"/>
  <c r="M25" i="1"/>
  <c r="I5" i="1"/>
  <c r="I14" i="1"/>
  <c r="I26" i="1"/>
  <c r="I27" i="1"/>
  <c r="I31" i="1"/>
  <c r="I9" i="1"/>
  <c r="M5" i="1"/>
  <c r="M14" i="1"/>
  <c r="M26" i="1"/>
  <c r="I15" i="1"/>
  <c r="I16" i="1"/>
  <c r="M8" i="1"/>
  <c r="M6" i="1"/>
  <c r="M15" i="1"/>
  <c r="M27" i="1"/>
  <c r="I29" i="1"/>
  <c r="M31" i="1"/>
  <c r="M7" i="1"/>
  <c r="M16" i="1"/>
  <c r="M29" i="1"/>
  <c r="I8" i="1"/>
  <c r="I19" i="1"/>
  <c r="M19" i="1"/>
  <c r="M9" i="1"/>
  <c r="M21" i="1"/>
  <c r="M36" i="1"/>
  <c r="I10" i="1"/>
  <c r="I22" i="1"/>
  <c r="I38" i="1"/>
</calcChain>
</file>

<file path=xl/sharedStrings.xml><?xml version="1.0" encoding="utf-8"?>
<sst xmlns="http://schemas.openxmlformats.org/spreadsheetml/2006/main" count="620" uniqueCount="411">
  <si>
    <t>ID</t>
  </si>
  <si>
    <t>Risikoområde</t>
  </si>
  <si>
    <t>AI's livscyklus</t>
  </si>
  <si>
    <t>Afgrænsning af business og use case</t>
  </si>
  <si>
    <t>Iboende risiko</t>
  </si>
  <si>
    <t>Overordnet reskrivelse af risiko</t>
  </si>
  <si>
    <t>Sandsynlighed for indtræden</t>
  </si>
  <si>
    <t>Konkret risikoscenarie</t>
  </si>
  <si>
    <t>Mitigerende foranstaltning</t>
  </si>
  <si>
    <t>Gennemførelsesdato</t>
  </si>
  <si>
    <t>Implementeringsstatus</t>
  </si>
  <si>
    <t>1.1</t>
  </si>
  <si>
    <t>1.2</t>
  </si>
  <si>
    <t>1.3</t>
  </si>
  <si>
    <t>1.4</t>
  </si>
  <si>
    <t>Konsekvens ved indtræden</t>
  </si>
  <si>
    <t>Residualrisiko (efter mitigering)</t>
  </si>
  <si>
    <t>Konsekvens ved indtræden (efter mitigering)</t>
  </si>
  <si>
    <t>Sandsynlighed for indtræden (efter mitigering)</t>
  </si>
  <si>
    <t>Udvikling</t>
  </si>
  <si>
    <t>Test</t>
  </si>
  <si>
    <t>Drift og monitorering</t>
  </si>
  <si>
    <t>Ansvarlighed
Artikel 5, stk. 2, og 24 samt betragtning nr. 39 and 74</t>
  </si>
  <si>
    <t xml:space="preserve">Ansvarlighed
Artikel 5, stk. 2, 35 og 36 samt betragtning nr. 74-77, 84, 89-92, 94 og 95. </t>
  </si>
  <si>
    <t xml:space="preserve">          </t>
  </si>
  <si>
    <t>SANDSYNLIGHED</t>
  </si>
  <si>
    <t>#</t>
  </si>
  <si>
    <t>BESKRIVELSE</t>
  </si>
  <si>
    <t>Kriterier for evaluering af sandsynlighed</t>
  </si>
  <si>
    <t>Kriterier for evaluering af konsekvens</t>
  </si>
  <si>
    <t>Lav</t>
  </si>
  <si>
    <t>Høj</t>
  </si>
  <si>
    <t>Meget høj</t>
  </si>
  <si>
    <t>Registrerede kan opleve få uhensigtsmæssigheder, der kan overkommes og imødegås uden større indsats (tid brugt på at genindtaste oplysninger, dårlig brugeroplevelse, irritation og lignende).</t>
  </si>
  <si>
    <t>Registrerede kan opleve betydelige uhensigtsmæssigheder, som de kan overkomme med en indsats og overvindelse af nogle få besværligheder (ekstra omkostninger, manglende adgang til forretningsservices, frygt, mangel på forståelse, stress og mindre påvirkning af fysisk karakter og lignende).</t>
  </si>
  <si>
    <t>Registrerede kan opleve betydelige konsekvenser, som kun kan overkommes med betydelig indsats og konsekvenser for den enkelte (økonomiske konsekvenser, fejlkontering af midler, sortlistning eller nedgradering i kreditmuligheder, fysisk skade på aktiver, påvirkning af arbejdssituation, stævning, dårligere helbred og lignende).</t>
  </si>
  <si>
    <t>Registrerede kan opleve betydelige og indgribende konsekvenser, som det ikke er muligt eller kun vanskeligt muligt at overkomme (mistet erhvervsevne, langvarige fysiske og psykiske påvirkninger, død og lignende).</t>
  </si>
  <si>
    <t>KONSEKVENS</t>
  </si>
  <si>
    <t>Evalueringskriterier for sandsynlighed og konsekvens</t>
  </si>
  <si>
    <t>1.5</t>
  </si>
  <si>
    <t>1.6</t>
  </si>
  <si>
    <t>Risikomatrix</t>
  </si>
  <si>
    <t>Usandsynligt (1)</t>
  </si>
  <si>
    <t>Mindre sandsynligt (2)</t>
  </si>
  <si>
    <t>Sandsynligt (3)</t>
  </si>
  <si>
    <t>Forventet (4)</t>
  </si>
  <si>
    <t>Mellem</t>
  </si>
  <si>
    <t>Risikoejer</t>
  </si>
  <si>
    <t>Kontekst</t>
  </si>
  <si>
    <t>Aktiver</t>
  </si>
  <si>
    <t>1.7</t>
  </si>
  <si>
    <t>1.8</t>
  </si>
  <si>
    <t>1.9</t>
  </si>
  <si>
    <t>2.1</t>
  </si>
  <si>
    <t>2.2</t>
  </si>
  <si>
    <t>2.3</t>
  </si>
  <si>
    <t>2.4</t>
  </si>
  <si>
    <t>2.5</t>
  </si>
  <si>
    <t>2.6</t>
  </si>
  <si>
    <t>2.7</t>
  </si>
  <si>
    <t>2.8</t>
  </si>
  <si>
    <t>3.1</t>
  </si>
  <si>
    <t>3.2</t>
  </si>
  <si>
    <t>3.3</t>
  </si>
  <si>
    <t>3.4</t>
  </si>
  <si>
    <t>3.5</t>
  </si>
  <si>
    <t>3.6</t>
  </si>
  <si>
    <t>3.7</t>
  </si>
  <si>
    <t>4.2</t>
  </si>
  <si>
    <t>4.3</t>
  </si>
  <si>
    <t>4.4</t>
  </si>
  <si>
    <t>4.5</t>
  </si>
  <si>
    <t>4.6</t>
  </si>
  <si>
    <t>4.7</t>
  </si>
  <si>
    <t>4.8</t>
  </si>
  <si>
    <t>5.1</t>
  </si>
  <si>
    <t>5.2</t>
  </si>
  <si>
    <t>5.3</t>
  </si>
  <si>
    <t>5.4</t>
  </si>
  <si>
    <t>Meningsfyldt menneskeligt review
Artikel 13, stk. 2, litra f, artikel 14, stk. 2, litra g, og artikel 15, stk. 1, litra h, samt artikel 22</t>
  </si>
  <si>
    <t>Dataminimering
Artikel 5, stk. 1, litra c, og betragtning nr. 39</t>
  </si>
  <si>
    <t>Indsamling af overflødige og/eller irrelevante data som følge af en standardiseret tilgang om at indsamle mest muligt data for at udvikle og drifte AI-løsninger.</t>
  </si>
  <si>
    <t>AI-løsninger medfører urimelige udfald for de registrerede som følge af, at træningsdata er (i) utilstrækkelig forskelligartet, (ii) uegnet til formålet, eller som (iii) afspejler tidligere bias, eller som følge af (iv) designvalg eller anden årsag. 
Som følge heraf kan de registrerede blive påvirket negativt, f.eks. ved diskrimination, finansielle tab eller sociale ulemper.</t>
  </si>
  <si>
    <t>Uklar privatlivspolitik eller informationsmeddelelse som følge af manglende afklaring af, hvilket formål AI-løsningen vil blive brugt til.</t>
  </si>
  <si>
    <t>Indsamling af overskydende personoplysninger som følge af manglende anvendelse af anonymiseringsteknikker.</t>
  </si>
  <si>
    <t>Registrerede bliver genstand for uforklarlige afgørelser eller beslutninger fra AI-løsninger, der drives af komplekse algoritmer (black box).</t>
  </si>
  <si>
    <t>Uopdagede sårbarheder i AI-løsningen som følge af manglende eller mangelfuld sikkerheds- og penetrationstest.</t>
  </si>
  <si>
    <t>Indsamling af overflødige og/eller irrelevante data som følge manglende review og udvælgelse af, hvilke data der reelt er nødvendige til udvikling og test af AI-løsningen.</t>
  </si>
  <si>
    <r>
      <rPr>
        <i/>
        <sz val="11"/>
        <color theme="1"/>
        <rFont val="Arial"/>
        <family val="2"/>
      </rPr>
      <t>Model drift,</t>
    </r>
    <r>
      <rPr>
        <sz val="11"/>
        <color theme="1"/>
        <rFont val="Arial"/>
        <family val="2"/>
      </rPr>
      <t xml:space="preserve"> der er forårsaget af, at træningsdata ikke længere er relevant eller tilstrækkeligt.</t>
    </r>
  </si>
  <si>
    <t>Mitigerende foranstaltning(er)</t>
  </si>
  <si>
    <t>Konkrete foranstaltninger</t>
  </si>
  <si>
    <t>Vurdering af lovlighed</t>
  </si>
  <si>
    <t>Du kan gennemføre brugertests for at få feedback om, hvor lettilgængeligt og letforståeligt de informationer, som du skal give de registrerede, er.</t>
  </si>
  <si>
    <t>Du bør indregne risikoen for tidligere diskrimination.</t>
  </si>
  <si>
    <t>Du kan føre en log over alle automatiske beslutninger, som blev underkendt af en menneskelig reviewer og årsagerne hertil.</t>
  </si>
  <si>
    <t>Du kan gennemføre periodiske tests af, hvorvidt en menneskelig reviewer identificerer et bevidst unøjagtigt udfald eller beslutning.</t>
  </si>
  <si>
    <r>
      <t xml:space="preserve">Du skal regelmæssigt vurdere </t>
    </r>
    <r>
      <rPr>
        <i/>
        <sz val="11"/>
        <color theme="1"/>
        <rFont val="Arial"/>
        <family val="2"/>
      </rPr>
      <t>modeldrift</t>
    </r>
    <r>
      <rPr>
        <sz val="11"/>
        <color theme="1"/>
        <rFont val="Arial"/>
        <family val="2"/>
      </rPr>
      <t xml:space="preserve"> og gentræne modellen ved brug af nye data, hvis det er nødvendigt.</t>
    </r>
  </si>
  <si>
    <t>Du kan afskære anonym brug af AI-løsningen ved at implementere foranstaltninger som kræver validering af brugerens identitet.</t>
  </si>
  <si>
    <t>Du bør gemme tidligere versioner af modellen, som kan reverteres tilbage til i tilfælde af væsentlig modeldrift.</t>
  </si>
  <si>
    <t>Du skal overveje, om data er blevet duplikeret eller kopieret under trænings- og testfasen.</t>
  </si>
  <si>
    <t>Du bør overveje trade-off mellem dataminimering og statistisk nøjagtighed, og hvorvidt du kan fjerne datapunkter, uden at det væsentligt påvirker nøjagtigheden af din model.</t>
  </si>
  <si>
    <t>Du skal designe din AI-løsning på en måde der sikrer, at menneskelige reviewers har meningsfuld indflydelse på beslutningen, herunder beføjelser og kompetence til at gå imod anbefalingen eller beslutning og inddrage andre relevante faktorer, som ikke var en del af inputdata.</t>
  </si>
  <si>
    <t>Du bør overveje, om datasættet, der bruges til test, er tilstrækkeligt.</t>
  </si>
  <si>
    <t>Du bør vurdere og begrunde dit valg mellem (i) at indsamle flere data for at reducere et disproportionalt antal statistiske fejl og (ii) ikke at indsamle sådanne data grundet risiciene, som det kan indebære, for de registreredes øvrige rettigheder og frihedsrettigheder.</t>
  </si>
  <si>
    <t>Du bør måle de forskellige typer af fejl (f.eks. falske positiver, falske negativer mv.)</t>
  </si>
  <si>
    <r>
      <t xml:space="preserve">Du skal fjerne features som sandsynligvis kan medføre </t>
    </r>
    <r>
      <rPr>
        <i/>
        <sz val="11"/>
        <color theme="1"/>
        <rFont val="Arial"/>
        <family val="2"/>
      </rPr>
      <t>overfitting</t>
    </r>
    <r>
      <rPr>
        <sz val="11"/>
        <color theme="1"/>
        <rFont val="Arial"/>
        <family val="2"/>
      </rPr>
      <t>.</t>
    </r>
  </si>
  <si>
    <t>Du bør vurdere, hvilke privatlivsfremmende teknologier der er relevante og passende at implementere.</t>
  </si>
  <si>
    <t>Du kan indføre foranstaltninger, som kan forebygge uregelmæssigheder, f.eks. begrænse antallet af forespørgsler, der kan udføres af en given bruger inden for et tidsinterval.</t>
  </si>
  <si>
    <t>Hvis du identificerer høje risici, som du ikke kan mitigere, skal du høre Datatilsynet, inden du begynder behandlingsaktiviteten.</t>
  </si>
  <si>
    <t>Du bør rådføre dig med domæneeksperter som kan rådgive dig om de relevante risici, som du skal identificere og mitigere.</t>
  </si>
  <si>
    <t>Du bør rådføre dig med relevante interessenter for at kortlægge de risici, som din behandlingsaktivitet kan medføre.</t>
  </si>
  <si>
    <t>For at beslutte hvor fyldestgørende din forklaring skal være, bør du vurdere, hvor forståeligt det nuværende output af AI-løsningen er.</t>
  </si>
  <si>
    <t>Du bør organisere workshops i organisationen for at sikre, at udviklerne er klar over, at der skal stilles funktionalitet til rådighed som tillader organisationen at håndtere anmodninger fra de registrerede om udøvelsen af deres rettigheder.</t>
  </si>
  <si>
    <t>Du bør udarbejde vejledninger for mærkning og annotering.</t>
  </si>
  <si>
    <t>Du kan rådføre dig med relevante interessenter eller interesseorganisationer for at definere mærkningskriterierne.</t>
  </si>
  <si>
    <t>Du kan indsamle yderligere data for at sikre, at træningsdata er repræsentative for den population, som du vil bruge AI-løsningen over for. Dette skal imidlertid afvejes over for de registreredes ret til ikke at blive udsat for overflødig, ulovlig eller urimelig behandling af personoplysninger.</t>
  </si>
  <si>
    <r>
      <t xml:space="preserve">Du kan overveje at bruge </t>
    </r>
    <r>
      <rPr>
        <i/>
        <sz val="11"/>
        <color theme="1"/>
        <rFont val="Arial"/>
        <family val="2"/>
      </rPr>
      <t>feature engineering</t>
    </r>
    <r>
      <rPr>
        <sz val="11"/>
        <color theme="1"/>
        <rFont val="Arial"/>
        <family val="2"/>
      </rPr>
      <t>-teknikker for at aggregere features, der bruges til træning, og for at undgå at bruge personoplysninger.</t>
    </r>
  </si>
  <si>
    <t>Hvis der er tale om fuldautomatiske afgørelser, skal du være i stand til at give meningsfulde informationer om logikken i de automatiske afgørelser samt betydningen og de forventede konsekvenser af en sådan behandling.</t>
  </si>
  <si>
    <t>Du bør designe forklaringer som passer til behovene hos dem, der interagerer med AI-løsningen på forskellige tidspunkter. Det kan f.eks. være, hvor nogen interagerer med løsningen for første gange i modsætning til nogen, som er regelmæssige brugere.</t>
  </si>
  <si>
    <t>Du kan overveje, hvornår du har brug for at forklare automatiske resultater til de forskellige grupper, som interagerer med AI-løsningen, og hvorvidt der findes en let måde at anfægte disse resultater og opnå menneskelig indgriben.</t>
  </si>
  <si>
    <t>Du skal udføre regelmæssige sikkerhedstests af din AI-løsning.</t>
  </si>
  <si>
    <t>Du skal fastsætte passende procedurer og processer for patching og opdatering. Du kan som led heri med jævne mellemrum indhente advarsler om sårbarheder fra relevante kilder for at sikre, at du forhindrer disse sårbarheder i at blive udnyttet.</t>
  </si>
  <si>
    <t>Du bør overvåge AI-løsningen, når den er i drift, og undersøge enhver uregelmæssighed.</t>
  </si>
  <si>
    <t>Du bør beslutte og dokumentere tærskler for beslutningen om, hvorvidt modellen skal gentrænes baseret på karakteren, scopet, konteksten og formålene med brugen af AI-løsningen og de risici, som løsningen indebærer.</t>
  </si>
  <si>
    <t>Manglende meningsfyldt menneskeligt review som følge af automation bias eller manglende forklarlighed.
Som følger heraf kan de registrerede blive udsat for unøjagtige eller urimelige afgørelser, som påvirker dem betydeligt.</t>
  </si>
  <si>
    <t>Du bør periodisk undersøge, om de fastlagte politikker fortsat er retvisende.</t>
  </si>
  <si>
    <t>Du bør foretage stikprøvekontrol af AI-løsningens output for at sikre, at det er rimeligt, rigtigt og lovligt.</t>
  </si>
  <si>
    <t xml:space="preserve">Hvis du benytter dig af automatisk mærkning, bør du fastsætte procedurer for kvalitetssikring heraf.
</t>
  </si>
  <si>
    <t>Du skal teste AI-løsningen med forskellige datasæt for at sikre, at løsningen genererer ens udfald for forskellige registrerede med samme karakteristika. Hvis det ikke er tilfældet, skal du gentræne løsningen.</t>
  </si>
  <si>
    <t>Du skal fastlægge procedurer for overvågning og regelmæssig test af AI-løsningen.</t>
  </si>
  <si>
    <t>Procedurerne for overvågning og test bør indeholde metrikker og tærskelværdier, som udløser review og test.</t>
  </si>
  <si>
    <t>Du kan antage en uafhængig tredjemand til at gennemføre regelmæssige algoritmetilsyn.</t>
  </si>
  <si>
    <t>Du bør føre en log over indsigelser, som du har modtaget vedrørende AI-løsningen for at følge op på indsigelsen og håndteringen heraf.</t>
  </si>
  <si>
    <t>Du skal have procedurer for håndtering af indsigelser fra de registrerede.</t>
  </si>
  <si>
    <t>Du bør gennemføre tests ved brug af nye datasæt for at sikre, at AI-løsningen fortsat er retvisende.</t>
  </si>
  <si>
    <t>Manglende gennemsigtighed eller manglende evne til at fortolke eller forklare AI-løsningens output som følge af valg i design og udvikling af løsningen.
Det kan føre til, at de registrerede ikke forstår, hvordan deres oplysninger behandles, hvordan AI-løsningen kan påvirke dem, og hvordan de kan udøve deres rettigheder.</t>
  </si>
  <si>
    <t>Manglende evne til at håndtere indsigelser fra de registrerede vedrørende AI-løsningens output</t>
  </si>
  <si>
    <t>5.5</t>
  </si>
  <si>
    <t>Rigtighed
Artikel 5, stk. 1, litra d, og betragtning nr. 39</t>
  </si>
  <si>
    <t>Relevant forpligtelse</t>
  </si>
  <si>
    <t>Vurdering</t>
  </si>
  <si>
    <t>Interessentinddragelse</t>
  </si>
  <si>
    <r>
      <t xml:space="preserve">Databeskyttelsesrådgiverens synspunkter
</t>
    </r>
    <r>
      <rPr>
        <sz val="11"/>
        <color theme="1"/>
        <rFont val="Arial"/>
        <family val="2"/>
      </rPr>
      <t>Databeskyttelsesforordningens artikel 35, stk. 2</t>
    </r>
  </si>
  <si>
    <r>
      <t xml:space="preserve">Registreredes (eller deres repræsentanters) synspunkter
</t>
    </r>
    <r>
      <rPr>
        <sz val="11"/>
        <color theme="1"/>
        <rFont val="Arial"/>
        <family val="2"/>
      </rPr>
      <t>Databeskyttelsesforordningens artikel 35, stk. 9</t>
    </r>
  </si>
  <si>
    <r>
      <t xml:space="preserve">Høring af Datatilsynet
</t>
    </r>
    <r>
      <rPr>
        <sz val="11"/>
        <color theme="1"/>
        <rFont val="Arial"/>
        <family val="2"/>
      </rPr>
      <t>Databeskyttelsesforordningens artikel 36</t>
    </r>
  </si>
  <si>
    <t>Ledelsesgodkendelse</t>
  </si>
  <si>
    <t>Ledelsens synspunkter og godkendelse</t>
  </si>
  <si>
    <r>
      <rPr>
        <b/>
        <sz val="11"/>
        <color theme="1"/>
        <rFont val="Arial"/>
        <family val="2"/>
      </rPr>
      <t>Princippet om formålsbegrænsning</t>
    </r>
    <r>
      <rPr>
        <sz val="11"/>
        <color theme="1"/>
        <rFont val="Arial"/>
        <family val="2"/>
      </rPr>
      <t xml:space="preserve">
Artikel 5, stk. 1, litra b, og præambelbetragtning nr. 39 og 50</t>
    </r>
  </si>
  <si>
    <r>
      <rPr>
        <b/>
        <sz val="11"/>
        <color theme="1"/>
        <rFont val="Arial"/>
        <family val="2"/>
      </rPr>
      <t>Proportionalitetsprincippet</t>
    </r>
    <r>
      <rPr>
        <sz val="11"/>
        <color theme="1"/>
        <rFont val="Arial"/>
        <family val="2"/>
      </rPr>
      <t xml:space="preserve">
Artikel 5, stk. 1, litra c, og præambelbetragtning nr. 39</t>
    </r>
  </si>
  <si>
    <t>Afgrænsning og use case</t>
  </si>
  <si>
    <t>Hele livscyklus – Registreredes rettigheder</t>
  </si>
  <si>
    <t>Hele livscyklus – Brug af databehandlere</t>
  </si>
  <si>
    <t>Hele livscyklus – Tredjelandsoverførsler</t>
  </si>
  <si>
    <t>Udvikling og test</t>
  </si>
  <si>
    <t>Drift</t>
  </si>
  <si>
    <r>
      <rPr>
        <b/>
        <sz val="11"/>
        <color theme="1"/>
        <rFont val="Arial"/>
        <family val="2"/>
      </rPr>
      <t>Princippet om rigtighed</t>
    </r>
    <r>
      <rPr>
        <sz val="11"/>
        <color theme="1"/>
        <rFont val="Arial"/>
        <family val="2"/>
      </rPr>
      <t xml:space="preserve">
Artikel 5, stk. 1, litra d, og præambelbetragtning nr. 39</t>
    </r>
  </si>
  <si>
    <r>
      <rPr>
        <b/>
        <sz val="11"/>
        <color theme="1"/>
        <rFont val="Arial"/>
        <family val="2"/>
      </rPr>
      <t>Princippet om opbevaringsbegrænsning</t>
    </r>
    <r>
      <rPr>
        <sz val="11"/>
        <color theme="1"/>
        <rFont val="Arial"/>
        <family val="2"/>
      </rPr>
      <t xml:space="preserve">
Artikel 5, stk. 1, litra e, og præambelbetragtning nr. 39</t>
    </r>
  </si>
  <si>
    <r>
      <rPr>
        <b/>
        <sz val="11"/>
        <color theme="1"/>
        <rFont val="Arial"/>
        <family val="2"/>
      </rPr>
      <t xml:space="preserve">Princippet om gennemsigtighed </t>
    </r>
    <r>
      <rPr>
        <sz val="11"/>
        <color theme="1"/>
        <rFont val="Arial"/>
        <family val="2"/>
      </rPr>
      <t xml:space="preserve">
Artikel 5, stk. 1, litra a, og præambelbetragtning nr. 39, 58 samt 60</t>
    </r>
  </si>
  <si>
    <r>
      <rPr>
        <b/>
        <sz val="11"/>
        <color theme="1"/>
        <rFont val="Arial"/>
        <family val="2"/>
      </rPr>
      <t>Princippet om rimelighed</t>
    </r>
    <r>
      <rPr>
        <sz val="11"/>
        <color theme="1"/>
        <rFont val="Arial"/>
        <family val="2"/>
      </rPr>
      <t xml:space="preserve">
Artikel 5, stk. 1, litra a, og præambelbetragtning nr. 39, 58 samt 60</t>
    </r>
  </si>
  <si>
    <t>[Beskriv hvordan det sikres, at trænings- og testdata er korrekte og retvisende.]</t>
  </si>
  <si>
    <t>Hele livscyklus – Behandlingssikkerhed</t>
  </si>
  <si>
    <t>[Beskriv hvordan det sikres, at AI-løsningen fortsat genererer korrekte og retvisende output, f.eks. hvordan løbende modeldrift opdages og afhjælpes, hvordan statiske modeller overvåges og om nødvendigt gentrænes mv.]</t>
  </si>
  <si>
    <t>[Beskriv hvordan det sikres, at AI-løsningen i drift ikke genererer urimelige output, f.eks. ved løbende overvågning og test, og hvordan eventuel bias i output opdages og håndteres.]</t>
  </si>
  <si>
    <t>[Beskriv hvordan det sikres, at output kan forklares, f.eks. hvis output danner grundlag for en beslutning over for den registrerede.]</t>
  </si>
  <si>
    <t>[Beskriv hvordan det sikres, at input er begrænset til det nødvendige og relevante, og at der ikke indgår unødvendige data.]</t>
  </si>
  <si>
    <t>[Beskriv hvordan oplysningspligten iagttages over for de registrede både ved udvikling og i drift, herunder om der gives meningsfulde oplysninger om logikken i AI-løsningen og de forventede konsekvenser, hvis relevant.]</t>
  </si>
  <si>
    <t>[Beskriv hvordan det sikres, at anmodninger om indsigt håndteres korrekt, herunder om der kan gives meningsfulde oplysninger om logikken i AI-løsningen og de forventede konsekvenser, hvis relevant.]</t>
  </si>
  <si>
    <t>[Angiv databeskyttelsesrådgiverens synspunkter og bemærkninger til den gennemførte konsekvensanalyse.]</t>
  </si>
  <si>
    <t>[Beskriv, hvis det er relevant, hvordan det sikres, at anmodninger om dataportabilitet håndteres korrekt.]</t>
  </si>
  <si>
    <t>[Beskriv, hvis det er relevant, hvordan det sikres, at de registrerede har ret til menneskelig indgriben med hensyn til AI-løsningens output, kan fremkomme med sine synspunkter og bestride afgørelsen.]</t>
  </si>
  <si>
    <t>[Beskriv hvordan det sikres, at anmodninger om sletning håndteres korrekt, herunder om de registrerede kan få slettet eventuelle oplysninger i træningsdata eller i output, samt hvordan underretning af eventuelle modtagere af oplysninger, der skal slettes, kan ske.]</t>
  </si>
  <si>
    <t>[Beskriv, hvis det er relevant, hvilke databehandlere der benyttes som led i udvikling og drift af AI-løsningen, hvilken behandling der foretages af disse, samt hvilke fornødne garantier databehandlerne har givet for, at behandlingen sker i overensstemmelse med databeskyttelsesreglerne. Kan med fordel beskrives i bilag.]</t>
  </si>
  <si>
    <t>[Beskriv, hvis det er relevant, hvilke tredjelande personoplysninger overføres til som led i udvikling og drift af AI-løsningen, hvilket overførselsgrundlag der anvendes, samt I hvilket omfang overførselsgrundlaget er effektivt. Kan med fordel beskrives i bilag.]</t>
  </si>
  <si>
    <t>[Beskriv hvordan behandlingssikkerheden sikres igennem hele løsningens livscyklus, f.eks. ved gennemførte risikovurderinger og implementerede sikkerhedsforanstaltninger. Kan med fordel beskrives i bilag.]</t>
  </si>
  <si>
    <t>Beskrivelse</t>
  </si>
  <si>
    <t>Baggrunden for at gennemføre konsekvensanalysen</t>
  </si>
  <si>
    <t>Scope og karakter</t>
  </si>
  <si>
    <t>Systematisk beskrivelse af behandlingsaktiviteten</t>
  </si>
  <si>
    <t>Formålsbeskrivelse</t>
  </si>
  <si>
    <t>Deling af data</t>
  </si>
  <si>
    <t>Kategorier af registrerede</t>
  </si>
  <si>
    <t>[Beskriv i relevant omfang den tekniske understøttelse af AI-løsningen, herunder f.eks hardware, software, øvrige aktiver mv.]</t>
  </si>
  <si>
    <t>Konteksten for brugen af AI-løsningen</t>
  </si>
  <si>
    <t>Teknisk understøttelse</t>
  </si>
  <si>
    <t>Datastrømme</t>
  </si>
  <si>
    <t>Baggrunden for at udvikle eller bruge en AI-løsning som led i behandlingsaktiviteten</t>
  </si>
  <si>
    <t>Formålet med AI-løsningen</t>
  </si>
  <si>
    <t>Ansvarlig for konsekvensanalyse</t>
  </si>
  <si>
    <t>Konsekvensanalysen ajourføres løbende af</t>
  </si>
  <si>
    <t>[Beskriv, hvis det er relevant, hvordan det sikres, at de registrerede har ret til at gøre indsigelse med hensyn til brug af vedkommendes data til udvikling af løsningen, eller mod at oplysningerne bruges som input.]</t>
  </si>
  <si>
    <t>[Beskriv hvordan det sikres, at anmodninger om berigtigelse håndteres korrekt, herunder om de registrerede kan få berigtiget eventuelle træningsdata eller få berigtiget løsningens output, samt hvordan underretning af eventuelle modtagere af ukorrekte oplysninger kan ske.]</t>
  </si>
  <si>
    <t>Konsekvensanalyse vedrørende databeskyttelse til AI-løsninger</t>
  </si>
  <si>
    <t>[Beskriv hvilke udfordringer eller problemstillinger den påtænkte brug af AI-løsningen skal adressere, og hvilke konkrete målsætninger brugen af løsningen har. Hvis der på dette tidlige stadie er klarhed over, hvilke problemstillinger AI-løsningen skal adressere og hvordan, er det lettere at vurdere, om løsningens output indebærer urimelige udfald for de registrerede.]</t>
  </si>
  <si>
    <t>[Beskriv vurderingen af, i hvilket omfang valg af model og designvalg understøtter evnen til at fortolke og forklare AI-løsningens output]</t>
  </si>
  <si>
    <t>[Beskriv vurderingen af, i hvilket omfang formålet med behandling af personoplysninger ved udvikling og drift af AI-løsningen er sagligt og specifikt.
Beskriv i hvilket omfang brug af de påtænkte datasæt til træning og test er foreneligt med det formål, som data oprindeligt er indsamlet til.]</t>
  </si>
  <si>
    <t>[Beskriv i hvilket omfang behandling af persondata ved udvikling og drift af AI-løsningen er egnet, nødvendig og forholdsmæssig. 
- Beskriv afvejningen mellem det overordnede hensyn til de registrerede over for de hensyn, der taler for at udvikle og bruge AI-løsningen. 
- Beskriv hvordan AI-løsningen udvikles, trænes og drives ved brug af færrest muligt oplysninger, om om muligt uden persondata.
- Beskriv hvilke privatlivsfremmende teknologier der er blevet overvejet for at minimere mængden af persondata til udvikling, f.eks. fødereret læring eller syntetiske data]</t>
  </si>
  <si>
    <t>[Beskriv i hvilket omfang det er passende at bruge AI-løsningen i den pågældende sammenhæng i lyset af løsningens mulighed for og evne til at give korrekte og retvisende svar.]</t>
  </si>
  <si>
    <t>[Beskriv vurderingen af, hvor længe det er nødvendigt at opbevare trænings- og testdatasæt, samt hvordan det sikres, at data slettes efter udløbet af perioden]</t>
  </si>
  <si>
    <t>[Beskriv hvordan det sikres, at der i trænings- og testdata ikke indgår data, som er resultatet af brud på persondatasikkerheden eller i øvrigt er ulovligt tilvejebragt.]</t>
  </si>
  <si>
    <t>[Beskriv hvordan det sikres, at træningsdata er retvisende, repræsentativt, og at eventuel tidligere bias håndteres. 
Beskriv hvordan det igennem model- og designvalg sikres, at AI-løsningen ikke genererer urimelige output eller resulterer i ulovlig forskelsbehandling.]</t>
  </si>
  <si>
    <t>[Beskriv hvordan det sikres, at mængden af trænings- og testdata er begrænset til det nødvendige, og at der i det enkelte datasæt ikke indgår datapunkter, som ikke er nødvendige til træning og test.]</t>
  </si>
  <si>
    <t>Urimelige eller diskriminerende udfald for de registrerede som følge af, at træningsdata er (i) utilstrækkelig forskelligartet, (ii) uegnet til formålet eller (iii) afspejler tidligere bias.
Det kan også ske som følge af designvalg eller andre årsag.</t>
  </si>
  <si>
    <t>Forkert output som følge af, at AI-løsningen er udviklet ved brug af ufuldstændige eller forkerte data.</t>
  </si>
  <si>
    <t>Gennemførelse af konsekvensanalyse vedrørende databeskyttelse (DPIA)</t>
  </si>
  <si>
    <t>Vurdering og dokumentation af de forskellige måder, hvorpå AI-løsningen kan resultere i urimelige udfald, og hvilke passende tekniske og organisatoriske foranstaltninger der implementeres for kontinuerligt at mitigere disse risici.</t>
  </si>
  <si>
    <t>Dokumentation af, hvilket datasæt der vil blive brugt til at udvikle AI-løsningen, og vurdering af, hvorvidt datasættet er rigtigt, tilstrækkeligt, relevant og begrænset til det nødvendige.</t>
  </si>
  <si>
    <t>Dokumentation af, hvordan udøvelsen af de registreredes rettigheder vil blive faciliteret gennem hele AI-løsningens livscyklus.</t>
  </si>
  <si>
    <t>Formålsbegrænsning og lovlighed
Artikel 5, stk. 1, litra b, artikel 6, stk. 1 og 4, og 30 samt betragtning nr. 39 og 50.</t>
  </si>
  <si>
    <t>Dokumentation af (i) hvorfra data hidrører, (ii) hvert formål med behandling af persondata på hvert trin af AI-livscyklussen, (iii) vurdering om formålene er forenelige med det oprindelige formål og (iv) fastsættelse af intervaller for review af, om formålene forbliver forenelige.</t>
  </si>
  <si>
    <t>Du bør etablere procedurer for data proviniens og data governance. Som led heri bør du gennemføre datastrømsanalyse, og afdække hvilke oplysninger der tilgår, bliver behandlet i og udgår fra AI-løsningen for at sikre behandlingen er lovlig og forenelig med det oprindelige formål.</t>
  </si>
  <si>
    <t>Du bør sikre dig, at det jævnligt evalueres, hvilke persondata der er nødvendige og hvorfor. Du kan fastsætte retningslinjer for, hvordan og hvor hyppigt evalueringen skal ske.</t>
  </si>
  <si>
    <t>Du kan rådføre dig med domæneeksperter for at sikre, at persondata, som du forventer at indsamle, er passende og tilstrækkelige.</t>
  </si>
  <si>
    <t>Du skal gennemføre en konsekvensanalyse, hvis din behandlingsaktivitet sandsynligvis vil indebære en høj risiko for fysiske personers rettigheder og frihedsrettigheder. Det vil normalt være tilfældet ved udvikling og brug af AI-løsninger.</t>
  </si>
  <si>
    <t>Du bør udpege en proces- eller systemejer for at sikre, at ansvaret for AI-løsningen forankres i organisationen.</t>
  </si>
  <si>
    <t>Du bør fastsætte operationelle procedurer og politikker for at understøtte korrekt brug af AI-løsningen samt udarbejde vejledninger, som anviser medarbejderne en korrekt brug af AI-løsningen.</t>
  </si>
  <si>
    <t xml:space="preserve">Du bør sikre dig, at vurderingen gennemføres af tilstrækkeligt kvalificerede medarbejdere. Det kan være nødvendigt at vurderingen gennemføres som en tværfaglig indsats ved f.eks. data scientists, der samarbejder med juridiske rådgivere mv.
</t>
  </si>
  <si>
    <t>Du bør vurdere, hvilke privatlivsfremmende teknologier der kan være passende for den pågældende AI-løsning for at sikre dataminimering.</t>
  </si>
  <si>
    <t>Du skal rense og justere datasæt, som du skal bruge til udvikling for at sikre, at data er repræsentative, pålidelige og relevante.</t>
  </si>
  <si>
    <t xml:space="preserve">Du bør fastsætte kriterier for mærkning som er lette at forstå, omfatter beskrivelser af og eksempler for alle mærker. Kriterierne bør også omfatte "gråzone"-tilfælde.
</t>
  </si>
  <si>
    <t>Du kan udarbejde statistikker for, hvor ofte medarbejderne der forestår mærkningen, er enige.</t>
  </si>
  <si>
    <t>Du bør fastlægge procedurer for overvågning af AI-løsningen og dens output.</t>
  </si>
  <si>
    <t xml:space="preserve">Du bør teste, hvor effektive dine forklaringer er, ved at måle hvor godt de registrerede forstår, hvorfor modellen kom frem til den pågældende beslutning eller afgørelse, eller hvordan modellens output bidrog til beslutningen.
</t>
  </si>
  <si>
    <t>Du kan overveje uddybende forklaringer, visualiseringer, grafiske fremstillinger eller kombinationer heraf, som del af din forklaring.</t>
  </si>
  <si>
    <t>Du skal begrænse medarbejdernes adgangsrettigheder efter behov. Medarbejdere skal alene have de adgangsrettigheder der er nødvendige for, at vedkommende kan udføre sine opgaver. Du skal regelmæssigt kontrollere de tildelte adgangsrettigheder og inddrage rettighederne, når de ikke længere er nødvendige. Du skal føre logs over, hvem der har hvilke rettigheder, og hvordan disse rettigheder bliver brugt.</t>
  </si>
  <si>
    <t>Du skal fastlægge politikker for sletning af datasæt, som du ikke længere har brug for, og implementere tekniske foranstaltninger der sikrer, at sletning reelt sker.</t>
  </si>
  <si>
    <t>Du bør sikre, at der gennemføres regelmæssige tests af, at foranstaltningerne om sletning fortsat er virksomme og effektive.</t>
  </si>
  <si>
    <t>Du skal sikre, at medarbejderne har de fornødne faglige forudsætninger for at vurdere AI-løsningens output. Det gælder uanset, om løsningen bruges til at træffe fuldautomatiske afgørelser, som beslutningsstøtte eller alene som led i almindelige opgaver.</t>
  </si>
  <si>
    <t>Du skal uddanne medarbejderne, der bruger AI-løsningen, i løsningens muligheder og begrænsninger.</t>
  </si>
  <si>
    <t>Vurdering og dokumentation af, hvilke data der er nødvendige for at sikre et repræsentativt, pålideligt og relevant træningsdatasæt.</t>
  </si>
  <si>
    <t>Fastlæggelse og dokumentation af klare kriterier og procedurer for mærkning af træningsdata</t>
  </si>
  <si>
    <r>
      <t xml:space="preserve">Vurdering og dokumentation af, i hvilket omfang modellen er tilbøjelig til </t>
    </r>
    <r>
      <rPr>
        <i/>
        <sz val="11"/>
        <color theme="1"/>
        <rFont val="Arial"/>
        <family val="2"/>
      </rPr>
      <t>overfitting</t>
    </r>
  </si>
  <si>
    <t>Brug af anonymiseringsteknikker på træningsdata, når data hentes fra kilden, og inden datasættet deles internt eller eksternt.</t>
  </si>
  <si>
    <t>Test af, om AI-løsningen genererer samme output for forskellige personer med samme karakteristika.</t>
  </si>
  <si>
    <t>Test af, om AI-løsningen producerer korrekte og retvisende output.</t>
  </si>
  <si>
    <t>Revurdering og dokumentation af, hvilke data der er nødvendige, tilstrækkelige og relevante til træning og test af AI-løsningen. Slet unødvendige data.</t>
  </si>
  <si>
    <t>Design og implementering af passende træning og uddannelse af menneskelige reviewers.</t>
  </si>
  <si>
    <t>Etablering og dokumentation af et rammeværk for gennemførelse af regelmæssige tests.</t>
  </si>
  <si>
    <t>Fastsættelse og dokumentation af tekniske og organisatoriske foranstaltninger som vil reducere behandlingssikkerhedsrisici.</t>
  </si>
  <si>
    <t>Definition og dokumentation af mekanismer til at overvåge modelydelsen.</t>
  </si>
  <si>
    <t>5.6</t>
  </si>
  <si>
    <t>Etablering og dokumentation af procedurer for at håndtere indsigelser fra de registrerede.</t>
  </si>
  <si>
    <t>Definition og dokumentation af tiltag for at sikre, at det menneskelige review forbliver meningsfyldt.</t>
  </si>
  <si>
    <t>Utilsigtet adgang til og manipulation af træningsdata og/eller kildekode</t>
  </si>
  <si>
    <t>3.8</t>
  </si>
  <si>
    <t>Denial-of-Service-angreb, der forhindrer brug af AI-løsningen</t>
  </si>
  <si>
    <t>Usikker håndtering af output, f.eks. AI-løsninger, der bruges som led i kodeskrivning, hvor output ukritisk introduceres i produktionssystemer og giver ondsindede aktører adgang til at afvikle kode i produktionssystemer.</t>
  </si>
  <si>
    <t>5.7</t>
  </si>
  <si>
    <t>Manipulation af input med henblik at manipulere AI-løsningen, f.eks. fremprovokere et specifikt output, eller ødelægge løsningen.</t>
  </si>
  <si>
    <r>
      <t>Læk af modelparametre og -beregninger som følge af målrettede angreb (</t>
    </r>
    <r>
      <rPr>
        <i/>
        <sz val="11"/>
        <color theme="1"/>
        <rFont val="Arial"/>
        <family val="2"/>
      </rPr>
      <t>model inversion</t>
    </r>
    <r>
      <rPr>
        <sz val="11"/>
        <color theme="1"/>
        <rFont val="Arial"/>
        <family val="2"/>
      </rPr>
      <t xml:space="preserve">, </t>
    </r>
    <r>
      <rPr>
        <i/>
        <sz val="11"/>
        <color theme="1"/>
        <rFont val="Arial"/>
        <family val="2"/>
      </rPr>
      <t>membership inference</t>
    </r>
    <r>
      <rPr>
        <sz val="11"/>
        <color theme="1"/>
        <rFont val="Arial"/>
        <family val="2"/>
      </rPr>
      <t xml:space="preserve"> mv.), der kan føre til tab af fortrolighed.</t>
    </r>
  </si>
  <si>
    <t>4.1</t>
  </si>
  <si>
    <t>Vurdering og dokumentation af de tredjepartsmodeller, der bruges til udvikling af AI-løsningen.</t>
  </si>
  <si>
    <t>Du bør sikre, at tredjepartsmodellerne er testet, og at sikkerheden er auditeret.</t>
  </si>
  <si>
    <t>Du skal forhåndsundersøge leverandørerne og udviklerne af de tredjepartsmodeller, som skal anvendes til udvikling af løsningen, herunder vilkår og eventuelle privatlivspolitikker. Brug kun pålidelige leverandører.</t>
  </si>
  <si>
    <t>Du skal etablere passende procedurer for ændrings- og versionsstyring (change management).</t>
  </si>
  <si>
    <t>Du bør etablere klare revisionsspor for, hvordan datasæt flyttes og opbevares fra en placering til en anden under trænings- og testfasen.</t>
  </si>
  <si>
    <t>Etablering af passende procedurer for ændringsstyring samt implementering og dokumentation af streng adgangskontrol i forhold til, hvilke personer der har adgang til træningsdata, kildekode og produktionsdata.</t>
  </si>
  <si>
    <t>Review og styring af anvendte kodebibilioteker, plugins mv.</t>
  </si>
  <si>
    <t>Fastsættelse af passende foranstaltninger for at sikre imod manipulation af input.</t>
  </si>
  <si>
    <t>Fastsættelse af passende foranstaltninger for at sikre imod overbelastning af AI-løsningen.</t>
  </si>
  <si>
    <t>Du kan fastsætte begrænsninger på antallet af tilgængelige ressourcer, der bruges pr. input.</t>
  </si>
  <si>
    <t>Fastsættelse af passende foranstaltninger for at sikre, at AI-løsningen output ikke bidrager til eller forårsager sikkerhedsbrud.</t>
  </si>
  <si>
    <r>
      <t xml:space="preserve">Du kan sikre, at output fra AI-løsningen behandles på linje med almindelige brugere og adoptere en </t>
    </r>
    <r>
      <rPr>
        <i/>
        <sz val="11"/>
        <color theme="1"/>
        <rFont val="Arial"/>
        <family val="2"/>
      </rPr>
      <t>zero-trust</t>
    </r>
    <r>
      <rPr>
        <sz val="11"/>
        <color theme="1"/>
        <rFont val="Arial"/>
        <family val="2"/>
      </rPr>
      <t>-tilgang, der sikrer, at alt output valideres.</t>
    </r>
  </si>
  <si>
    <t>Hvis du er nødt til at behandle andre kategorier af persondata til brug for biasanalyse, end de typer der allerede indgår i trænings- og testdata, skal du identificere et behandlingsgrundlag for disse data.</t>
  </si>
  <si>
    <t>Manglende eller mangelfuld identifikation og mitigering af risiciene for de registrerede.</t>
  </si>
  <si>
    <t xml:space="preserve">Diskriminerende udfald som følge af, at AI-løsningen lægger vægt på features, der fører til direkte eller indirekte diskrimination, som led i en beslutning eller en afgørelse.
</t>
  </si>
  <si>
    <t xml:space="preserve">Mangelfuld mærkning af træningsdata, der skyldes uklare politikker eller procedurer.
</t>
  </si>
  <si>
    <t xml:space="preserve">Diskriminerende udfald som følge af, at AI-løsningen lægger vægt på features, som fører til direkte eller indirekte diskrimination, som led i en beslutning eller en afgørelse.
</t>
  </si>
  <si>
    <t xml:space="preserve">Manglende meningsfyldt menneskeligt review som følge af manglende uddannelse og træning af medarbejderne i at fortolke og bestride output, som genereres af AI-løsningen.
</t>
  </si>
  <si>
    <t>Vurdering og dokumentation af kravene til forklarlighed og gennemsigtighed under hensyntagen til, hvordan AI-løsningen vil blive brugt i det pågældende domæne eller sektor.</t>
  </si>
  <si>
    <t xml:space="preserve">Du bør vurdere, hvilke forventninger de registrerede har til, hvor forklarlig AI-løsningens output skal være. Det kan f.eks. baseres på tidligere tilsvarende forklaringer i lignende AI-løsninger. Det kan også ske ved at undersøge forklaringer i andre sektorer, f.eks. hvad forventningerne er til forklarlighed i sundhedssektoren eller i forsikringsbranchen.
</t>
  </si>
  <si>
    <t>Du bør løbende overvåge leverandørens eventuelle vilkår og sikkerhedsaudits for at sikre, at tredjepartsmodellen fortsat er robust, og at modellen ikke har ændret sig væsentligt fra udgangspunktet.</t>
  </si>
  <si>
    <t>Du bør implementere en passende politik for opdatering og patching af AI-løsningen, der er baseret på tredjepartsmodellen, for at sikre, at den nyeste udgave af modellen eller API'et benyttes.</t>
  </si>
  <si>
    <t>Du bør sikre, at medarbejderne med ansvaret for mærkning og annotering er tilstrækkeligt kvalificerede, og at sammensætningen af medarbejderne er tilstrækkeligt mangfoldig.</t>
  </si>
  <si>
    <t>Vurdering og dokumentation af, i hvilket omfang AI-løsningen kan håndtere data, der vedrører forskellige tilfælde, rigtigt og rimeligt.</t>
  </si>
  <si>
    <t>Du bør overveje, om du skal indsamle yderligere data om specifikke tilfælde for at sikre mere retvisende resultater.</t>
  </si>
  <si>
    <t>Vurdering og dokumentation af, hvor forklarlig AI-løsningen er og overvejelser om, hvilke supplerende foranstaltninger eller værktøjer der kan bruge til at understøtte forklaring af beslutninger truffet af AI-løsningen til de personer, der bliver påvirket af beslutningen.
Definition og dokumentation af såvel en klageadgang som en adgang til at give feedback, der giver berørte personer mulighed for at give feedback om de forklaringer, som de modtager.</t>
  </si>
  <si>
    <r>
      <t xml:space="preserve">Du kan overveje at dokumentere AI-løsningens begrænsninger i et </t>
    </r>
    <r>
      <rPr>
        <i/>
        <sz val="11"/>
        <color theme="1"/>
        <rFont val="Arial"/>
        <family val="2"/>
      </rPr>
      <t>modelkort</t>
    </r>
    <r>
      <rPr>
        <sz val="11"/>
        <color theme="1"/>
        <rFont val="Arial"/>
        <family val="2"/>
      </rPr>
      <t>.</t>
    </r>
  </si>
  <si>
    <t>Du kan analysere indsigelser for at fastlægge trends, problemstillinger og risici.</t>
  </si>
  <si>
    <t>Resume</t>
  </si>
  <si>
    <t>Scope</t>
  </si>
  <si>
    <t>2.9</t>
  </si>
  <si>
    <t>2.10</t>
  </si>
  <si>
    <t>2.11</t>
  </si>
  <si>
    <t>2.12</t>
  </si>
  <si>
    <t>2.13</t>
  </si>
  <si>
    <t>2.14</t>
  </si>
  <si>
    <t>2.15</t>
  </si>
  <si>
    <t>2.16</t>
  </si>
  <si>
    <t>2.17</t>
  </si>
  <si>
    <t>2.18</t>
  </si>
  <si>
    <t>2.19</t>
  </si>
  <si>
    <t>2.20</t>
  </si>
  <si>
    <t>2.21</t>
  </si>
  <si>
    <t>2.22</t>
  </si>
  <si>
    <t>2.23</t>
  </si>
  <si>
    <t>2.24</t>
  </si>
  <si>
    <t>2.25</t>
  </si>
  <si>
    <t>2.26</t>
  </si>
  <si>
    <t>2.27</t>
  </si>
  <si>
    <t>[Beskriv baggrunden for at udvikle eller implementere AI-løsningen til den pågældende aktivitet. Beskriv (i) typen af løsning, (ii) modelvalg, (iii) designvalg.]</t>
  </si>
  <si>
    <r>
      <t>Scope creep</t>
    </r>
    <r>
      <rPr>
        <i/>
        <sz val="11"/>
        <color theme="1"/>
        <rFont val="Arial"/>
        <family val="2"/>
      </rPr>
      <t xml:space="preserve"> </t>
    </r>
    <r>
      <rPr>
        <sz val="11"/>
        <color theme="1"/>
        <rFont val="Arial"/>
        <family val="2"/>
      </rPr>
      <t>som følge af manglende klarhed over, hvilke(t) formål AI-løsningen skal bruges til, eller ulovlig behandling som følge af manglende kendskab til kilden til trænings-, test- eller inputdata.</t>
    </r>
  </si>
  <si>
    <t>Utilsigtet adgang til AI-løsningen eller læk af persondata som følge af, at udvikling af AI-løsning skal ske ved brug af tredjepartsmodeller, som er inficeret med ondsindet kode.</t>
  </si>
  <si>
    <t>Manglende evne til at håndtere anmodninger fra de registrerede om at udøve deres rettigheder som følge af manglende opmærksomhed på de registreredes rettigheder igennem hele AI-løsningens livscyklus.</t>
  </si>
  <si>
    <r>
      <t xml:space="preserve">Utilstrækkelige træningsdata, som fører til </t>
    </r>
    <r>
      <rPr>
        <i/>
        <sz val="11"/>
        <color theme="1"/>
        <rFont val="Arial"/>
        <family val="2"/>
      </rPr>
      <t xml:space="preserve">overfitting </t>
    </r>
    <r>
      <rPr>
        <sz val="11"/>
        <color theme="1"/>
        <rFont val="Arial"/>
        <family val="2"/>
      </rPr>
      <t xml:space="preserve">som følge af, at der ikke indsamles nok features eller data.
</t>
    </r>
  </si>
  <si>
    <r>
      <rPr>
        <i/>
        <sz val="11"/>
        <color theme="1"/>
        <rFont val="Arial"/>
        <family val="2"/>
      </rPr>
      <t xml:space="preserve">Model drift </t>
    </r>
    <r>
      <rPr>
        <sz val="11"/>
        <color theme="1"/>
        <rFont val="Arial"/>
        <family val="2"/>
      </rPr>
      <t xml:space="preserve">der ikke opdages.
</t>
    </r>
  </si>
  <si>
    <t>6.1</t>
  </si>
  <si>
    <t>6.2</t>
  </si>
  <si>
    <t>6.3</t>
  </si>
  <si>
    <t>6.4</t>
  </si>
  <si>
    <t>6.5</t>
  </si>
  <si>
    <t>6.6</t>
  </si>
  <si>
    <t>6.7</t>
  </si>
  <si>
    <t>6.8</t>
  </si>
  <si>
    <t>Risiko ID</t>
  </si>
  <si>
    <t>Tildeling af tekniske og operationelle roller og anvisning af klar retning for brugen af AI-løsningen.</t>
  </si>
  <si>
    <t>Vurdering og dokumentation af, hvilke datakilder eller features, som ikke bør behandles på grund af risikoen for direkte eller indirekte diskrimination.
Samtidig bør det vurderes, om visse af disse data eller features desuagtet skal indsamles til brug for bias analyse.</t>
  </si>
  <si>
    <t>Vurdering og dokumentation af, i hvilket omfang den information, der gives til de registrerede, er forståelig og lettilgængelig.</t>
  </si>
  <si>
    <t>Vurdering og dokumentation af sikkerhedsrisiciene ved det software der benyttes. Implementering af passende tekniske og organisatoriske foranstaltninger for at mitigere de identificerede risici.</t>
  </si>
  <si>
    <t>Du bør overveje, om du skal indsamle specifikke datapunkter til brug for biasanalyse.</t>
  </si>
  <si>
    <t>Du bør overveje, om du har behov for at behandle yderligere data for at gennemføre biasanalyse, og om du har behov for at lave labels for data, som du allerede har, eller om du skal indsamle yderligere data.</t>
  </si>
  <si>
    <t>Du kan uddanne udviklerne for at gøre opmærksom på risiciene ved forsyningskædeangreb og vigtigheden af at verificere de anvendte kodebiblioteker mv.</t>
  </si>
  <si>
    <t>[Beskriv, hvordan brud på persondatasikkerheden håndteres, og hvordan de registrerede eventuelt underrettes om brud, som sandsynligvis vil indebære en høj risiko for de pågældende.]</t>
  </si>
  <si>
    <t>2.28</t>
  </si>
  <si>
    <t>Ubetydelig (1)</t>
  </si>
  <si>
    <t>Mindre alvorlig (2)</t>
  </si>
  <si>
    <t>Meget alvorlig (3)</t>
  </si>
  <si>
    <t>Ødelæggende (4)</t>
  </si>
  <si>
    <t>Utilgængelig eller ødelagt behandlingsaktivitet som følge af, at AI-løsningen, der understøtter aktiviteten, f.eks. grundet hændeligt nedbrud</t>
  </si>
  <si>
    <t>6.9</t>
  </si>
  <si>
    <t>6.10</t>
  </si>
  <si>
    <t>Du skal etablere backup af AI-løsningen, som gør det muligt at reetablere efter eventuelle nedbrud. Backup bør vedligeholdes og testes regelmæssigt.</t>
  </si>
  <si>
    <t>Fastsættelse af passende foranstaltninger for at sikre imod nedbrud.</t>
  </si>
  <si>
    <r>
      <t xml:space="preserve">Implementering af </t>
    </r>
    <r>
      <rPr>
        <i/>
        <sz val="11"/>
        <color theme="1"/>
        <rFont val="Arial"/>
        <family val="2"/>
      </rPr>
      <t xml:space="preserve">least privilege-princippet </t>
    </r>
    <r>
      <rPr>
        <sz val="11"/>
        <color theme="1"/>
        <rFont val="Arial"/>
        <family val="2"/>
      </rPr>
      <t>og uddannelse af medarbejdere i AI-løsningens anvendelsesområde</t>
    </r>
  </si>
  <si>
    <t>[Beskriv afgrænsningen af, hvilken behandlingsaktivitet der er genstand for konsekvensanalysen. Det kan f.eks. være oplagt, hvis en AI-løsning skal idriftsættes på eksisterende teknisk infrastruktur, at henvise til eksisterende risikovurderinger mv. Konsekvensanalysen omfatter i så fald alene den pågældende AI-løsning.]</t>
  </si>
  <si>
    <r>
      <rPr>
        <b/>
        <sz val="11"/>
        <color theme="1"/>
        <rFont val="Arial"/>
        <family val="2"/>
      </rPr>
      <t>Relevant undtagelse for behandling af særlige kategorier af personoplysninger</t>
    </r>
    <r>
      <rPr>
        <sz val="11"/>
        <color theme="1"/>
        <rFont val="Arial"/>
        <family val="2"/>
      </rPr>
      <t xml:space="preserve">
Artikel 9, stk. 2, og præambelbetragtning nr. 52-56</t>
    </r>
  </si>
  <si>
    <r>
      <rPr>
        <b/>
        <sz val="11"/>
        <color theme="1"/>
        <rFont val="Arial"/>
        <family val="2"/>
      </rPr>
      <t>Princippet om rimelighed</t>
    </r>
    <r>
      <rPr>
        <sz val="11"/>
        <color theme="1"/>
        <rFont val="Arial"/>
        <family val="2"/>
      </rPr>
      <t xml:space="preserve">
Artikel 5, stk. 1, litra a, og præambelbetragtning nr. 39, 40 samt 58</t>
    </r>
  </si>
  <si>
    <r>
      <rPr>
        <b/>
        <sz val="11"/>
        <color theme="1"/>
        <rFont val="Arial"/>
        <family val="2"/>
      </rPr>
      <t xml:space="preserve">Princippet om lovlighed
</t>
    </r>
    <r>
      <rPr>
        <sz val="11"/>
        <color theme="1"/>
        <rFont val="Arial"/>
        <family val="2"/>
      </rPr>
      <t>Artikel 5, stk. 1, litra a, og præambelbetragtning nr. 39, 40 samt 58</t>
    </r>
    <r>
      <rPr>
        <b/>
        <i/>
        <sz val="11"/>
        <color theme="1"/>
        <rFont val="Arial"/>
        <family val="2"/>
      </rPr>
      <t xml:space="preserve">
</t>
    </r>
  </si>
  <si>
    <t>[Beskriv hvordan det sikres gennem model- og designvalg samt implementering af foranstaltninger i øvrigt, at AI-løsningens output kan forklares.]</t>
  </si>
  <si>
    <r>
      <rPr>
        <b/>
        <sz val="11"/>
        <color theme="1"/>
        <rFont val="Arial"/>
        <family val="2"/>
      </rPr>
      <t>Oplysningspligt</t>
    </r>
    <r>
      <rPr>
        <sz val="11"/>
        <color theme="1"/>
        <rFont val="Arial"/>
        <family val="2"/>
      </rPr>
      <t xml:space="preserve">
Databeskyttelsesforordningens artikel 12-14 samt præambelbetragtning nr. 60-62</t>
    </r>
  </si>
  <si>
    <r>
      <rPr>
        <b/>
        <sz val="11"/>
        <color theme="1"/>
        <rFont val="Arial"/>
        <family val="2"/>
      </rPr>
      <t>Indsigtsret</t>
    </r>
    <r>
      <rPr>
        <sz val="11"/>
        <color theme="1"/>
        <rFont val="Arial"/>
        <family val="2"/>
      </rPr>
      <t xml:space="preserve">
Databeskyttelsesforordningens artikel 15 samt præambelbetragtning nr. 63-64</t>
    </r>
  </si>
  <si>
    <r>
      <rPr>
        <b/>
        <sz val="11"/>
        <color theme="1"/>
        <rFont val="Arial"/>
        <family val="2"/>
      </rPr>
      <t>Retten til berigtigelse</t>
    </r>
    <r>
      <rPr>
        <sz val="11"/>
        <color theme="1"/>
        <rFont val="Arial"/>
        <family val="2"/>
      </rPr>
      <t xml:space="preserve">
Databeskyttelsesforordningens artikel 16 samt præambelbetragtning nr. 65</t>
    </r>
  </si>
  <si>
    <r>
      <rPr>
        <b/>
        <sz val="11"/>
        <color theme="1"/>
        <rFont val="Arial"/>
        <family val="2"/>
      </rPr>
      <t>Retten til sletning</t>
    </r>
    <r>
      <rPr>
        <sz val="11"/>
        <color theme="1"/>
        <rFont val="Arial"/>
        <family val="2"/>
      </rPr>
      <t xml:space="preserve">
Databeskyttelsesforordningens artikel 17 samt præambelbetragtning nr. 65</t>
    </r>
  </si>
  <si>
    <r>
      <rPr>
        <b/>
        <sz val="11"/>
        <color theme="1"/>
        <rFont val="Arial"/>
        <family val="2"/>
      </rPr>
      <t>Retten til dataportabilitet</t>
    </r>
    <r>
      <rPr>
        <sz val="11"/>
        <color theme="1"/>
        <rFont val="Arial"/>
        <family val="2"/>
      </rPr>
      <t xml:space="preserve">
Databeskyttelsesforordningens artikel 20 samt præambelbetragtning nr. 68</t>
    </r>
  </si>
  <si>
    <r>
      <rPr>
        <b/>
        <sz val="11"/>
        <color theme="1"/>
        <rFont val="Arial"/>
        <family val="2"/>
      </rPr>
      <t>Ret til at gøre indsigelse</t>
    </r>
    <r>
      <rPr>
        <sz val="11"/>
        <color theme="1"/>
        <rFont val="Arial"/>
        <family val="2"/>
      </rPr>
      <t xml:space="preserve">
Databeskyttelsesforordningens artikel 21 samt præambelbetragtning nr. 69</t>
    </r>
  </si>
  <si>
    <r>
      <rPr>
        <b/>
        <sz val="11"/>
        <color theme="1"/>
        <rFont val="Arial"/>
        <family val="2"/>
      </rPr>
      <t>Ret til ikke at være genstand for automatiske indviduelle afgørelser</t>
    </r>
    <r>
      <rPr>
        <sz val="11"/>
        <color theme="1"/>
        <rFont val="Arial"/>
        <family val="2"/>
      </rPr>
      <t xml:space="preserve">
Databeskyttelsesforordningens artikel 22 samt præambelbetragtning nr. 71</t>
    </r>
  </si>
  <si>
    <r>
      <rPr>
        <b/>
        <sz val="11"/>
        <color theme="1"/>
        <rFont val="Arial"/>
        <family val="2"/>
      </rPr>
      <t>Databehandlere</t>
    </r>
    <r>
      <rPr>
        <sz val="11"/>
        <color theme="1"/>
        <rFont val="Arial"/>
        <family val="2"/>
      </rPr>
      <t xml:space="preserve">
Artikel 28 samt præambelbetragtning nr. 81</t>
    </r>
  </si>
  <si>
    <r>
      <rPr>
        <b/>
        <sz val="11"/>
        <color theme="1"/>
        <rFont val="Arial"/>
        <family val="2"/>
      </rPr>
      <t>Tredjelandsoverførsler</t>
    </r>
    <r>
      <rPr>
        <sz val="11"/>
        <color theme="1"/>
        <rFont val="Arial"/>
        <family val="2"/>
      </rPr>
      <t xml:space="preserve">
Artikel 44-49 samt præambelbetragtning nr. 101-115</t>
    </r>
  </si>
  <si>
    <t>[Beskriv overordnet, hvad AI-løsningen skal bruges til, hvilke(n) forretningsproces(ser) løsningen skal understøtte, hvad der ønskes opnået mv. Beskriv, hvilke forretningsproces(ser) og behandlingsaktiviteter der berøres af brugen af AI-løsningen og hvordan.]</t>
  </si>
  <si>
    <r>
      <rPr>
        <b/>
        <sz val="11"/>
        <color theme="1"/>
        <rFont val="Arial"/>
        <family val="2"/>
      </rPr>
      <t>Behandling af oplysninger om personnummer (CPR)</t>
    </r>
    <r>
      <rPr>
        <sz val="11"/>
        <color theme="1"/>
        <rFont val="Arial"/>
        <family val="2"/>
      </rPr>
      <t xml:space="preserve">
Databeskyttelseslovens § 11</t>
    </r>
  </si>
  <si>
    <r>
      <rPr>
        <b/>
        <sz val="11"/>
        <color theme="1"/>
        <rFont val="Arial"/>
        <family val="2"/>
      </rPr>
      <t>Behandling af oplysninger om strafbare forhold</t>
    </r>
    <r>
      <rPr>
        <sz val="11"/>
        <color theme="1"/>
        <rFont val="Arial"/>
        <family val="2"/>
      </rPr>
      <t xml:space="preserve">
Databeskyttelseslovens § 8</t>
    </r>
  </si>
  <si>
    <t>[Beskriv, hvis relevant, vurderingen af, hvilken undtagelse til det generelle forbud mod behandling af særlige kategorier af oplysninger der muliggør behandling af sådanne kategorier til såvel udvikling som drift af AI-løsningen. Beskriv vurderingen seperat for udvikling og for drift af løsningen.]</t>
  </si>
  <si>
    <t>[Beskriv, hvis relevant, vurderingen af, hvilket behandllingsgrundlag der muliggør behandling af oplysninger om strafbare forhold til såvel udvikling som drift af AI-løsningen. Beskriv vurderingen seperat for udvikling og for drift af løsningen.]</t>
  </si>
  <si>
    <t>[Beskriv, hvis relevant, vurderingen af, hvilket behandllingsgrundlag der muliggør behandling af oplysninger om personnummer til såvel udvikling som drift af AI-løsningen. Beskriv vurderingen seperat for udvikling og for drift af løsningen.]</t>
  </si>
  <si>
    <t>2.29</t>
  </si>
  <si>
    <t>2.30</t>
  </si>
  <si>
    <t>[Beskriv vurderingen af, hvilket behandlingsgrundlag der muliggør behandling af personoplysninger til såvel udvikling som drift af AI-løsningen. Beskriv vurderingen seperat for udvikling og for drift af løsningen. 
Hvis drift af AI-løsningen understøtter eller berører flere forretningsprocesser eller behandlingsaktiviteter, beskriv da behandlingsgrundlaget særskilt for de pågældende behandlingsaktiviteter.]</t>
  </si>
  <si>
    <t>[Beskriv baggrunden for og vurderingen af, at der skal gennemføres en konsekvensanalyse. 
Der skal gennemføres en konsekvensanalyse, hvis behandlingsaktiviteten sandsynligvis vil indebære en høj risiko for fysiske personers rettigheder og frihedsrettigheder. Det vil normalt være tilfældet ved udvikling og brug af AI-løsninger.]</t>
  </si>
  <si>
    <t>Du skal, hvis det er relevant, indhente de registreredes synspunkter vedrørende den påtænkte behandlingsaktivitet.</t>
  </si>
  <si>
    <t xml:space="preserve">For at identificere de relevante risici i AI-løsningen, bør du som led i konsekvensanalysen konsultere de enheder i organisationen, som vil være involveret i projektet. Det omfatter bl.a. udviklere, jura og compliance, samt de(n) enhed(er), hvor løsningen skal bruges.
</t>
  </si>
  <si>
    <t>Du bør undersøge, i hvilket omfang den information, som du skal give de registrerede, gives på en lettilgængelig og letforståelig måde. Det kan f.eks. ske gennem målgruppeundersøgelser eller lign.</t>
  </si>
  <si>
    <t>Du kan foretage regelmæssig fejlsøgning af AI-løsningen.</t>
  </si>
  <si>
    <t>Du kan fastsætte begrænsning for mængden af inputdata. Det kan f.eks. omfatte antallet input pr. bruger eller IP-adresse eller tilsvarende.</t>
  </si>
  <si>
    <r>
      <rPr>
        <b/>
        <sz val="11"/>
        <color theme="1"/>
        <rFont val="Arial"/>
        <family val="2"/>
      </rPr>
      <t xml:space="preserve">Princippet om lovlighed
</t>
    </r>
    <r>
      <rPr>
        <sz val="11"/>
        <color theme="1"/>
        <rFont val="Arial"/>
        <family val="2"/>
      </rPr>
      <t>Artikel 5, stk. 1, litra a, artikel 6, stk. 1, og præambelbetragtning nr. 39, 40 samt 58</t>
    </r>
    <r>
      <rPr>
        <b/>
        <i/>
        <sz val="11"/>
        <color theme="1"/>
        <rFont val="Arial"/>
        <family val="2"/>
      </rPr>
      <t xml:space="preserve">
</t>
    </r>
  </si>
  <si>
    <t>Princippet om rimelighed
Artikel 5, stk. 1, litra a, og præambelbetragtning nr. 39, 40 samt 58</t>
  </si>
  <si>
    <t>Dataminimering
Artikel 5, stk. 1, litra c, samt betragtning nr. 39</t>
  </si>
  <si>
    <t xml:space="preserve">Sikkerhed
Artikel 5, stk. 1, litra f, og artikel 32-34 samt præambelbetragtning nr. 83 og 85-88 </t>
  </si>
  <si>
    <t>Rimelighed
Artikel 5, stk. 1, litra a, og præambelbetragtning nr. 39, 58 samt 60</t>
  </si>
  <si>
    <t>Rimelighed
Artikel 5, stk. 1, litra a og c, og præambelbetragtning nr. 39, 58 samt 60</t>
  </si>
  <si>
    <t>Dataminimering
Artikel 5, stk. 1, litra c</t>
  </si>
  <si>
    <t>Rimelighed og sikkerhed
Artikel 5, stk. 1, litra a og f, samt betragtning nr. 39, 58 samt 60 og 83</t>
  </si>
  <si>
    <t>Dataminimering
Artikel 5, stk. 1, litra c, og præambelbetragtning nr. 39</t>
  </si>
  <si>
    <t>Rettigheder
Artikel 15-22 og præambelbetragtning nr. 60-71</t>
  </si>
  <si>
    <t>Gennemsigtighed
Artikel 5, stk. 1, litra a, og 12-15  samt præambelbetragtning nr. 60-62</t>
  </si>
  <si>
    <t>[Beskriv hvilke formål data skal bruges til. Hvad ønskes opnået? Hvad er den forventede effekt for de registrerede? Hvad er fordelene for jeres organisation? Hvad er fordelene for samfundet som helhed? Hvilke legitime formål forfølges med databehandlingen?]</t>
  </si>
  <si>
    <t>[Beskriv hvilke kategorier af registrerede data vedrører. Omfatter det børn, patienter, ældre eller andre sårbare grupper? Hvad er antallet af registrerede ved start og på lang sigt?]</t>
  </si>
  <si>
    <t>Alvorligste mulige konsekvenser for de registrerede</t>
  </si>
  <si>
    <t>[Hvis konsekvensanalysen viser, at behandlingen indebærer høj risiko – til trods for foranstaltninger for at nedbringe risikoen – skal Datatilsynet høres, inden behandlingsaktiviteten iværksættes.
Angiv, hvis relevant, at Datatilsynet er blevet hørt, hvornår, og hvilke eventuelle bemærkninger I har modtaget.]</t>
  </si>
  <si>
    <t>[Beskriv om det forventes, at data skal deles med andre. Hvilke modtagere drejer det sig om? Hvordan deles data ned igennem eventuelle leverandørkæder?]</t>
  </si>
  <si>
    <r>
      <rPr>
        <b/>
        <sz val="11"/>
        <color theme="1"/>
        <rFont val="Arial"/>
        <family val="2"/>
      </rPr>
      <t>Princippet om integritet og fortrolighed samt behandlingssikkerhed</t>
    </r>
    <r>
      <rPr>
        <sz val="11"/>
        <color theme="1"/>
        <rFont val="Arial"/>
        <family val="2"/>
      </rPr>
      <t xml:space="preserve">
Artikel 5, stk. 1, litra f, og artikel 32-34 samt præambelbetragtning nr. 75, 76, 83 og 85-88 </t>
    </r>
  </si>
  <si>
    <r>
      <t xml:space="preserve">Brud på persondatasikkerheden
</t>
    </r>
    <r>
      <rPr>
        <sz val="11"/>
        <color theme="1"/>
        <rFont val="Arial"/>
        <family val="2"/>
      </rPr>
      <t>Artikel 5, stk. 1, litra f, og artikel 33-34 samt præambelbetragtning nr. 75, 76, 83 og 85-88</t>
    </r>
  </si>
  <si>
    <t>Det kan anses for næsten udelukket, at hændelsen nogensinde kan forekomme; fx (i) Ingen erfaring med hændelsen; eller (ii) Kendes kun fra få og af hinanden uafhængige hændelser i offentlige og private virksomheder</t>
  </si>
  <si>
    <t>Hændelsen forventes ikke at forekomme; fx (i) Mindre erfraring med hændelsen; eller (ii) Kendes fra offentlige og private virksomheder</t>
  </si>
  <si>
    <t>Det er sandsynligt, at hændelsen vil forekomme; fx (i) Man har erfaring med hændelsen, men ikke inden for de seneste 12 måneder; eller (ii) Kendes fra offentlige og private virksomheder (omtales årligt i pressen)</t>
  </si>
  <si>
    <t>Det forventes, at hændelsen vil forekomme; fx (i) Man har erfaring med hændelsen inden for de sidste 12 måneder; eller (ii) Hænder jævnligt i andre offentlige og private organisationer (omtales ofte i pressen)</t>
  </si>
  <si>
    <t>[Hvis det er relevant, skal de registrerede eller deres repræsentanters synspunkter om den planlagte behandlingsaktivitet indhentes.
Hvis de registrerede eller deres repræsentanters synspunkter ikke indhentes, bør begrundelsen for dette fravalg dokumenteres.]</t>
  </si>
  <si>
    <t>[Skriv et kort resume af konsekvensanalysen, fx til ledelsen, herunder vurderingerne, de væsentligste risici og håndteringen heraf.]</t>
  </si>
  <si>
    <t>[Beskriv hvilke persondata der vil blive behandlet som led i udvikling og drift af AI-løsningen: Hvilke type(r) af data behandles? Hvilke typer bruges til henholdsvis (i) udvikling, (ii) test og (iii) drift? Omfatter det særligt beskyttelsesværdige data som fx lokationsdata, økonomiske forhold, sociale forhold eller lignende? Omfatter det særlige kategorier af data eller data om strafbare forhold? Hvor stort er omfanget af data? Hvordan indsamles, bruges og opbevares data og hvor længe? Hvor indsamles data fra? Hvor stammer data fra? Hvilke formål blev data oprindeligt indsamlet til? Hvad er varigheden af behandlingen (isoleret, midlertidig, regelmæssig, vedvarende)?]</t>
  </si>
  <si>
    <t>[Beskriv konteksten for brugen af AI-løsningen. Hvordan vil databehandlingen påvirke de berørte personer? Hvad er forholdet til de berørte personer (f.eks. borgere, kunder, medarbejdere mv.)? Hvor meget kontrol vil de berørte personer have? Hvad er de berørte personers berettigede forventninger med hensyn til behandling af deres persondata? Er der særlige udtalte bekymringer, f.eks. blandt de berørte personer eller i offentligheden, som bør indregnes?]</t>
  </si>
  <si>
    <t>Misbrug eller forkert brug af AI-løsningen, f.eks. grundet ondsindede insidere eller som følge af manglende kendskab til løsningens muligheder og begrænsninger.</t>
  </si>
  <si>
    <r>
      <rPr>
        <i/>
        <sz val="11"/>
        <color theme="1"/>
        <rFont val="Arial"/>
        <family val="2"/>
      </rPr>
      <t>Overfitting</t>
    </r>
    <r>
      <rPr>
        <sz val="11"/>
        <color theme="1"/>
        <rFont val="Arial"/>
        <family val="2"/>
      </rPr>
      <t xml:space="preserve"> som følge af, at modellen tillægger  specifikke features i træningsdata for stor betydning.
</t>
    </r>
  </si>
  <si>
    <t>Gennemsigtighed
Artikel 5, stk. 1, litra a, og 12-15 samt præambelbetragtning nr. 60-62</t>
  </si>
  <si>
    <t>Svagheder i forsyningskæden, f.eks. som følge af ondsindet kode i kodebiblioteker eller brug af forældede kodebiblioteker, eller som følge af manglende eller mangelfuld håndtering af plug-ins og integrationer til øvrige systemer.</t>
  </si>
  <si>
    <t xml:space="preserve">Mangelfuld rolle- og ansvarsfordeling, der fører til, at ingen personer i organisationen har ejerskab over de risici, der følger af brugen af AI.
Det kan medføre, at risiciene ikke adresseres  eller ikke adresseres rettidigt med konsekvenser for de registrerede til følge. </t>
  </si>
  <si>
    <t>Du bør sikre dig, at vurderingen i første omgang har fokus på de forventede udfald for de registrerede, der påvirkes af behandlingsaktiviteten.</t>
  </si>
  <si>
    <t>Du skal sikre, at der er adgang til meningsfyldt menneskeligt review, når AI-løsningen træffer fuldautomatiske afgørelser, som har retsvirkning eller på tilsvarende vis betydeligt påvirker de registrerede.</t>
  </si>
  <si>
    <t>Processen for mærkning og annotering bør indeholde procedurer for kvalitetssikring, herunder af subjektive og objektive mærker. Ved subjektive mærker forstås tilfælde, hvor der ikke findes et korrekt mærke, og mærket tildeles skønsmæssigt af medarbejderen. Ved objektive mærker forstås tilfælde, hvor der findes et korrekt mærke, men medarbejderen er ikke bekendt med, hvordan det anvendes. Processen bør også omfatte, at flere medarbejdere mærker samme datapunkter uafhængigt af hinanden med henblik på sammenligning.</t>
  </si>
  <si>
    <r>
      <t xml:space="preserve">Du bør overveje nøglemetrikker for modellens ydeevne for at identificere mulige årsager til </t>
    </r>
    <r>
      <rPr>
        <i/>
        <sz val="11"/>
        <color theme="1"/>
        <rFont val="Arial"/>
        <family val="2"/>
      </rPr>
      <t>overfittting</t>
    </r>
    <r>
      <rPr>
        <sz val="11"/>
        <color theme="1"/>
        <rFont val="Arial"/>
        <family val="2"/>
      </rPr>
      <t>.</t>
    </r>
  </si>
  <si>
    <t>Du skal oplyse de registrerede om behandlingen på en måde, som er lettilgængelig og letforståelig. Du skal bruge klart og enkelt sprog.</t>
  </si>
  <si>
    <t>Du skal etablere adskilte tekniske miljøer til henholdsvis udvikling, test og produktion og sikre, at de respektive datasæt, der skal bruges i de forskellige faser, behandles i de respektive miljøer.</t>
  </si>
  <si>
    <t>Du skal verificere integriteten af datasæt, som skal bruges til henholdsvis udvikling, test og produktion. Tag udgangspunkt i eventuelle procedurer for data governance og data proviniens.</t>
  </si>
  <si>
    <t>Du bør fastlægge en beredskabsplan og gøre den tilgængelig for alle, der er involveret i udvikling og drift af AI-løsninger. Planen bør omfatte processer for indrapportering af hændelser, og hvem der er ansvarlig for at håndtere dem. Planen bør også omfatte vejledning i, hvordan hændelser hurtigt adresseres, hvem der håndterer hændelsen, og hvordan hændelsen kommunikeres til de øvrige dele af organisationen.</t>
  </si>
  <si>
    <t>Du bør bruge teknikker og værktøjer til at opdage anormaliteter i f.eks. træningsdata.</t>
  </si>
  <si>
    <t>Du bør bruge pålidelige repositories og validere signaturen af pakker og kodebiblioteker, der anvendes, for at validere deres integritet.</t>
  </si>
  <si>
    <t>Du kan foretage regelmæssig kodereview af de anvendte kodebiblioteker for at sikre, at der ikke er introduceret ondsindet kode.</t>
  </si>
  <si>
    <t>Du kan proaktivt række ud til de registrerede for at vurdere, hvordan du kan forbedre de forklaringer, som du giver.</t>
  </si>
  <si>
    <t>Du skal fastlægge procedurer for og gennemføre tests af, at AI-løsningen er statistisk korrekt og retvisende.</t>
  </si>
  <si>
    <t>Testprocedurerne bør omfatte relevante tærskelværdier for statistiske fejl, succes- og performancekriterier.</t>
  </si>
  <si>
    <t>Du kan fastsætte begrænsninger for typen af inputdata. Begrænsningerne kan fastsættes ud fra logiske betragtninger om AI-løsningens anvendelsesområde, hvor input undersøges for uventede værdier eller mønstre.</t>
  </si>
  <si>
    <t>Du kan implementere løbende overvågning af inputdata for at identificere unormale spidsbelastninger, der kan indikere et DoS-angreb.</t>
  </si>
  <si>
    <t>Du kan fastlægge procedurer for, hvornår beslutninger, der er truffet af AI-løsningen, skal genoptages.</t>
  </si>
  <si>
    <t>Du bør overveje, om visse data skal indsamles eller features skal indgå som led i din biasanalyse.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</si>
</sst>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2"/>
      <color theme="1"/>
      <name val="Arial"/>
      <family val="2"/>
    </font>
    <font>
      <sz val="11"/>
      <color theme="1"/>
      <name val="Arial"/>
      <family val="2"/>
    </font>
    <font>
      <sz val="11"/>
      <color theme="0"/>
      <name val="Arial"/>
      <family val="2"/>
    </font>
    <font>
      <i/>
      <sz val="11"/>
      <color theme="1"/>
      <name val="Arial"/>
      <family val="2"/>
    </font>
    <font>
      <b/>
      <sz val="18"/>
      <color theme="0"/>
      <name val="Arial"/>
      <family val="2"/>
    </font>
    <font>
      <b/>
      <sz val="14"/>
      <color theme="0"/>
      <name val="Arial"/>
      <family val="2"/>
    </font>
    <font>
      <b/>
      <sz val="12"/>
      <color theme="0"/>
      <name val="Arial"/>
      <family val="2"/>
    </font>
    <font>
      <i/>
      <sz val="12"/>
      <color theme="0"/>
      <name val="Arial"/>
      <family val="2"/>
    </font>
    <font>
      <b/>
      <sz val="12"/>
      <name val="Arial"/>
      <family val="2"/>
    </font>
    <font>
      <b/>
      <i/>
      <sz val="12"/>
      <color theme="1"/>
      <name val="Arial"/>
      <family val="2"/>
    </font>
    <font>
      <b/>
      <i/>
      <sz val="11"/>
      <color theme="1"/>
      <name val="Arial"/>
      <family val="2"/>
    </font>
    <font>
      <b/>
      <sz val="12"/>
      <color theme="1"/>
      <name val="Arial"/>
      <family val="2"/>
    </font>
    <font>
      <b/>
      <sz val="11"/>
      <color theme="1"/>
      <name val="Arial"/>
      <family val="2"/>
    </font>
    <font>
      <b/>
      <sz val="26"/>
      <color theme="3"/>
      <name val="Arial"/>
      <family val="2"/>
    </font>
    <font>
      <sz val="12"/>
      <color theme="0"/>
      <name val="Arial"/>
      <family val="2"/>
    </font>
  </fonts>
  <fills count="10">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3" tint="0.749992370372631"/>
        <bgColor indexed="64"/>
      </patternFill>
    </fill>
    <fill>
      <patternFill patternType="solid">
        <fgColor theme="3" tint="0.249977111117893"/>
        <bgColor indexed="64"/>
      </patternFill>
    </fill>
  </fills>
  <borders count="32">
    <border>
      <left/>
      <right/>
      <top/>
      <bottom/>
      <diagonal/>
    </border>
    <border>
      <left style="thick">
        <color theme="0"/>
      </left>
      <right style="thick">
        <color theme="0"/>
      </right>
      <top style="thick">
        <color theme="0"/>
      </top>
      <bottom style="thick">
        <color theme="0"/>
      </bottom>
      <diagonal/>
    </border>
    <border>
      <left/>
      <right/>
      <top/>
      <bottom style="thick">
        <color theme="0"/>
      </bottom>
      <diagonal/>
    </border>
    <border>
      <left style="thin">
        <color indexed="64"/>
      </left>
      <right style="thin">
        <color indexed="64"/>
      </right>
      <top style="thin">
        <color indexed="64"/>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top/>
      <bottom style="thin">
        <color theme="3"/>
      </bottom>
      <diagonal/>
    </border>
    <border>
      <left/>
      <right style="thin">
        <color theme="3"/>
      </right>
      <top/>
      <bottom style="thin">
        <color theme="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style="thin">
        <color theme="3"/>
      </left>
      <right style="thin">
        <color theme="3"/>
      </right>
      <top style="thin">
        <color theme="3"/>
      </top>
      <bottom/>
      <diagonal/>
    </border>
    <border>
      <left style="thin">
        <color theme="3"/>
      </left>
      <right style="thin">
        <color theme="3"/>
      </right>
      <top/>
      <bottom style="thin">
        <color theme="3"/>
      </bottom>
      <diagonal/>
    </border>
    <border>
      <left style="thin">
        <color theme="3"/>
      </left>
      <right/>
      <top/>
      <bottom/>
      <diagonal/>
    </border>
    <border>
      <left/>
      <right style="thin">
        <color theme="3"/>
      </right>
      <top/>
      <bottom/>
      <diagonal/>
    </border>
    <border>
      <left style="thin">
        <color theme="3"/>
      </left>
      <right/>
      <top/>
      <bottom style="thin">
        <color indexed="64"/>
      </bottom>
      <diagonal/>
    </border>
    <border>
      <left/>
      <right/>
      <top/>
      <bottom style="thin">
        <color indexed="64"/>
      </bottom>
      <diagonal/>
    </border>
    <border>
      <left/>
      <right style="thin">
        <color theme="3"/>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180">
    <xf numFmtId="0" fontId="0" fillId="0" borderId="0" xfId="0"/>
    <xf numFmtId="0" fontId="0" fillId="0" borderId="0" xfId="0"/>
    <xf numFmtId="0" fontId="3" fillId="3" borderId="0" xfId="0" applyFont="1" applyFill="1"/>
    <xf numFmtId="0" fontId="3" fillId="3" borderId="0" xfId="0" applyFont="1" applyFill="1" applyAlignment="1">
      <alignment vertical="center"/>
    </xf>
    <xf numFmtId="0" fontId="6" fillId="3" borderId="0" xfId="0" applyFont="1" applyFill="1" applyAlignment="1">
      <alignment vertical="center"/>
    </xf>
    <xf numFmtId="0" fontId="8" fillId="2" borderId="1" xfId="0" applyFont="1" applyFill="1" applyBorder="1" applyAlignment="1">
      <alignment horizontal="left" vertical="center" indent="1"/>
    </xf>
    <xf numFmtId="0" fontId="2" fillId="3" borderId="0" xfId="0" applyFont="1" applyFill="1" applyAlignment="1">
      <alignment horizontal="left" vertical="center" indent="1"/>
    </xf>
    <xf numFmtId="0" fontId="8" fillId="2" borderId="1" xfId="0" applyFont="1" applyFill="1" applyBorder="1" applyAlignment="1">
      <alignment horizontal="left" vertical="center" wrapText="1" indent="1"/>
    </xf>
    <xf numFmtId="0" fontId="8" fillId="2" borderId="1" xfId="0" quotePrefix="1" applyFont="1" applyFill="1" applyBorder="1" applyAlignment="1">
      <alignment horizontal="left" vertical="center" indent="1"/>
    </xf>
    <xf numFmtId="0" fontId="2" fillId="3" borderId="0" xfId="0" applyFont="1" applyFill="1"/>
    <xf numFmtId="0" fontId="3" fillId="2" borderId="0" xfId="0" applyFont="1" applyFill="1"/>
    <xf numFmtId="0" fontId="8"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7" borderId="1" xfId="0" applyFont="1" applyFill="1" applyBorder="1" applyAlignment="1">
      <alignment horizontal="center" vertical="center"/>
    </xf>
    <xf numFmtId="0" fontId="1" fillId="0" borderId="0" xfId="0" applyFont="1" applyBorder="1" applyAlignment="1">
      <alignment wrapText="1"/>
    </xf>
    <xf numFmtId="0" fontId="3" fillId="3" borderId="0" xfId="0" applyFont="1" applyFill="1" applyAlignment="1">
      <alignment horizontal="center"/>
    </xf>
    <xf numFmtId="0" fontId="3" fillId="3" borderId="0" xfId="0" applyFont="1" applyFill="1" applyAlignment="1">
      <alignment horizontal="center"/>
    </xf>
    <xf numFmtId="0" fontId="0" fillId="0" borderId="0" xfId="0" applyAlignment="1">
      <alignment horizontal="center"/>
    </xf>
    <xf numFmtId="0" fontId="3" fillId="3" borderId="0" xfId="0" applyFont="1" applyFill="1" applyAlignment="1">
      <alignment horizontal="left" vertical="top"/>
    </xf>
    <xf numFmtId="0" fontId="0" fillId="3" borderId="0" xfId="0" applyFill="1"/>
    <xf numFmtId="0" fontId="3" fillId="7" borderId="1" xfId="0" applyFont="1" applyFill="1" applyBorder="1" applyAlignment="1">
      <alignment horizontal="left" vertical="center" indent="1"/>
    </xf>
    <xf numFmtId="0" fontId="3" fillId="7" borderId="1" xfId="0" applyFont="1" applyFill="1" applyBorder="1" applyAlignment="1">
      <alignment horizontal="left" vertical="center" wrapText="1" indent="1"/>
    </xf>
    <xf numFmtId="0" fontId="3" fillId="3" borderId="0" xfId="0" applyFont="1" applyFill="1" applyAlignment="1">
      <alignment horizontal="left" vertical="center" indent="1"/>
    </xf>
    <xf numFmtId="0" fontId="3" fillId="4"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6" borderId="1" xfId="0" applyFont="1" applyFill="1" applyBorder="1" applyAlignment="1">
      <alignment horizontal="left" vertical="center" indent="1"/>
    </xf>
    <xf numFmtId="0" fontId="3" fillId="6" borderId="1" xfId="0" applyFont="1" applyFill="1" applyBorder="1" applyAlignment="1">
      <alignment horizontal="left" vertical="center" wrapText="1" indent="1"/>
    </xf>
    <xf numFmtId="0" fontId="4" fillId="5" borderId="1" xfId="0" applyFont="1" applyFill="1" applyBorder="1" applyAlignment="1">
      <alignment horizontal="left" vertical="center" indent="1"/>
    </xf>
    <xf numFmtId="0" fontId="4" fillId="5" borderId="1" xfId="0" applyFont="1" applyFill="1" applyBorder="1" applyAlignment="1">
      <alignment horizontal="left" vertical="center" wrapText="1" indent="1"/>
    </xf>
    <xf numFmtId="0" fontId="3" fillId="7"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5" borderId="1" xfId="0" applyFont="1" applyFill="1" applyBorder="1" applyAlignment="1">
      <alignment horizontal="center" vertical="center"/>
    </xf>
    <xf numFmtId="0" fontId="8" fillId="2" borderId="1" xfId="0" applyFont="1" applyFill="1" applyBorder="1" applyAlignment="1">
      <alignment horizontal="center" vertical="center"/>
    </xf>
    <xf numFmtId="0" fontId="0" fillId="3" borderId="0" xfId="0" applyFill="1" applyAlignment="1">
      <alignment horizontal="left" vertical="top"/>
    </xf>
    <xf numFmtId="0" fontId="0" fillId="3" borderId="0" xfId="0" applyFill="1" applyAlignment="1">
      <alignment horizontal="center" vertical="center"/>
    </xf>
    <xf numFmtId="0" fontId="3" fillId="3" borderId="10" xfId="0" applyFont="1" applyFill="1" applyBorder="1" applyAlignment="1">
      <alignment vertical="top" wrapText="1"/>
    </xf>
    <xf numFmtId="0" fontId="7" fillId="2" borderId="10" xfId="0" applyFont="1" applyFill="1" applyBorder="1" applyAlignment="1">
      <alignment horizontal="center" vertical="center" wrapText="1"/>
    </xf>
    <xf numFmtId="0" fontId="3" fillId="0" borderId="10" xfId="0" applyFont="1" applyBorder="1" applyAlignment="1">
      <alignment horizontal="left" vertical="top" wrapText="1"/>
    </xf>
    <xf numFmtId="0" fontId="3" fillId="0" borderId="10" xfId="0" applyFont="1" applyFill="1" applyBorder="1" applyAlignment="1">
      <alignment horizontal="left" vertical="top" wrapText="1"/>
    </xf>
    <xf numFmtId="0" fontId="3" fillId="0" borderId="10" xfId="0" applyFont="1" applyBorder="1" applyAlignment="1">
      <alignment vertical="top" wrapText="1"/>
    </xf>
    <xf numFmtId="0" fontId="3" fillId="0" borderId="10" xfId="0" applyFont="1" applyBorder="1" applyAlignment="1">
      <alignment horizontal="center" vertical="center" wrapText="1"/>
    </xf>
    <xf numFmtId="0" fontId="3" fillId="3" borderId="10" xfId="0" applyFont="1" applyFill="1" applyBorder="1" applyAlignment="1">
      <alignment horizontal="left" vertical="top" wrapText="1"/>
    </xf>
    <xf numFmtId="0" fontId="3" fillId="0" borderId="10" xfId="0" applyFont="1" applyFill="1" applyBorder="1" applyAlignment="1">
      <alignment vertical="top" wrapText="1"/>
    </xf>
    <xf numFmtId="0" fontId="7" fillId="2" borderId="10" xfId="0" applyFont="1" applyFill="1" applyBorder="1" applyAlignment="1">
      <alignment horizontal="center" vertical="center"/>
    </xf>
    <xf numFmtId="0" fontId="3" fillId="3" borderId="0" xfId="0" applyFont="1" applyFill="1" applyAlignment="1">
      <alignment wrapText="1"/>
    </xf>
    <xf numFmtId="0" fontId="3" fillId="3" borderId="10" xfId="0" applyFont="1" applyFill="1" applyBorder="1" applyAlignment="1">
      <alignment horizontal="left" vertical="top" wrapText="1"/>
    </xf>
    <xf numFmtId="0" fontId="3" fillId="3" borderId="0" xfId="0" applyFont="1" applyFill="1" applyBorder="1" applyAlignment="1">
      <alignment horizontal="left" vertical="top" wrapText="1"/>
    </xf>
    <xf numFmtId="0" fontId="3" fillId="0" borderId="10" xfId="0" applyFont="1" applyBorder="1" applyAlignment="1">
      <alignment horizontal="left" vertical="top" wrapText="1"/>
    </xf>
    <xf numFmtId="0" fontId="3" fillId="0" borderId="10" xfId="0" applyFont="1" applyBorder="1" applyAlignment="1">
      <alignment horizontal="center" vertical="center" wrapText="1"/>
    </xf>
    <xf numFmtId="0" fontId="3" fillId="3" borderId="10"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10" xfId="0" applyFont="1" applyBorder="1" applyAlignment="1"/>
    <xf numFmtId="0" fontId="3" fillId="0" borderId="10" xfId="0" applyFont="1" applyBorder="1" applyAlignment="1">
      <alignment wrapText="1"/>
    </xf>
    <xf numFmtId="0" fontId="0" fillId="0" borderId="10" xfId="0" applyBorder="1" applyAlignment="1"/>
    <xf numFmtId="0" fontId="0" fillId="0" borderId="10" xfId="0" applyBorder="1"/>
    <xf numFmtId="0" fontId="3" fillId="0" borderId="10" xfId="0" applyFont="1" applyBorder="1"/>
    <xf numFmtId="0" fontId="16" fillId="3" borderId="0" xfId="0" applyFont="1" applyFill="1" applyAlignment="1">
      <alignment vertical="top" wrapText="1"/>
    </xf>
    <xf numFmtId="0" fontId="2" fillId="3" borderId="0" xfId="0" applyFont="1" applyFill="1" applyAlignment="1">
      <alignment vertical="top" wrapText="1"/>
    </xf>
    <xf numFmtId="0" fontId="7" fillId="2" borderId="22" xfId="0" applyFont="1" applyFill="1" applyBorder="1" applyAlignment="1">
      <alignment horizontal="center" vertical="center"/>
    </xf>
    <xf numFmtId="0" fontId="15" fillId="3" borderId="0" xfId="0" applyFont="1" applyFill="1" applyAlignment="1">
      <alignment horizontal="left"/>
    </xf>
    <xf numFmtId="0" fontId="5" fillId="3" borderId="13" xfId="0" applyFont="1" applyFill="1" applyBorder="1" applyAlignment="1">
      <alignment horizontal="left" vertical="top"/>
    </xf>
    <xf numFmtId="0" fontId="5" fillId="3" borderId="14" xfId="0" applyFont="1" applyFill="1" applyBorder="1" applyAlignment="1">
      <alignment horizontal="left" vertical="top"/>
    </xf>
    <xf numFmtId="0" fontId="5" fillId="3" borderId="15" xfId="0" applyFont="1" applyFill="1" applyBorder="1" applyAlignment="1">
      <alignment horizontal="left" vertical="top"/>
    </xf>
    <xf numFmtId="0" fontId="5" fillId="3" borderId="19" xfId="0" applyFont="1" applyFill="1" applyBorder="1" applyAlignment="1">
      <alignment horizontal="left" vertical="top"/>
    </xf>
    <xf numFmtId="0" fontId="5" fillId="3" borderId="0" xfId="0" applyFont="1" applyFill="1" applyBorder="1" applyAlignment="1">
      <alignment horizontal="left" vertical="top"/>
    </xf>
    <xf numFmtId="0" fontId="5" fillId="3" borderId="20" xfId="0" applyFont="1" applyFill="1" applyBorder="1" applyAlignment="1">
      <alignment horizontal="left" vertical="top"/>
    </xf>
    <xf numFmtId="0" fontId="5" fillId="3" borderId="16" xfId="0" applyFont="1" applyFill="1" applyBorder="1" applyAlignment="1">
      <alignment horizontal="left" vertical="top"/>
    </xf>
    <xf numFmtId="0" fontId="5" fillId="3" borderId="8" xfId="0" applyFont="1" applyFill="1" applyBorder="1" applyAlignment="1">
      <alignment horizontal="left" vertical="top"/>
    </xf>
    <xf numFmtId="0" fontId="5" fillId="3" borderId="9" xfId="0" applyFont="1" applyFill="1" applyBorder="1" applyAlignment="1">
      <alignment horizontal="left" vertical="top"/>
    </xf>
    <xf numFmtId="0" fontId="5" fillId="3" borderId="13" xfId="0" applyFont="1" applyFill="1" applyBorder="1" applyAlignment="1">
      <alignment horizontal="left" vertical="top" wrapText="1"/>
    </xf>
    <xf numFmtId="0" fontId="5" fillId="3" borderId="14" xfId="0" applyFont="1" applyFill="1" applyBorder="1" applyAlignment="1">
      <alignment horizontal="left" vertical="top" wrapText="1"/>
    </xf>
    <xf numFmtId="0" fontId="5" fillId="3" borderId="15" xfId="0" applyFont="1" applyFill="1" applyBorder="1" applyAlignment="1">
      <alignment horizontal="left" vertical="top" wrapText="1"/>
    </xf>
    <xf numFmtId="0" fontId="5" fillId="3" borderId="19" xfId="0" applyFont="1" applyFill="1" applyBorder="1" applyAlignment="1">
      <alignment horizontal="left" vertical="top" wrapText="1"/>
    </xf>
    <xf numFmtId="0" fontId="5" fillId="3" borderId="0" xfId="0" applyFont="1" applyFill="1" applyBorder="1" applyAlignment="1">
      <alignment horizontal="left" vertical="top" wrapText="1"/>
    </xf>
    <xf numFmtId="0" fontId="5" fillId="3" borderId="20" xfId="0" applyFont="1" applyFill="1" applyBorder="1" applyAlignment="1">
      <alignment horizontal="left" vertical="top" wrapText="1"/>
    </xf>
    <xf numFmtId="0" fontId="5" fillId="3" borderId="16" xfId="0" applyFont="1" applyFill="1" applyBorder="1" applyAlignment="1">
      <alignment horizontal="left" vertical="top" wrapText="1"/>
    </xf>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7" fillId="2" borderId="19" xfId="0" applyFont="1" applyFill="1" applyBorder="1" applyAlignment="1">
      <alignment horizontal="left" vertical="center" indent="1"/>
    </xf>
    <xf numFmtId="0" fontId="7" fillId="2" borderId="0" xfId="0" applyFont="1" applyFill="1" applyBorder="1" applyAlignment="1">
      <alignment horizontal="left" vertical="center" indent="1"/>
    </xf>
    <xf numFmtId="0" fontId="7" fillId="2" borderId="20" xfId="0" applyFont="1" applyFill="1" applyBorder="1" applyAlignment="1">
      <alignment horizontal="left" vertical="center" indent="1"/>
    </xf>
    <xf numFmtId="0" fontId="3" fillId="3" borderId="0" xfId="0" applyFont="1" applyFill="1" applyAlignment="1">
      <alignment horizontal="center"/>
    </xf>
    <xf numFmtId="0" fontId="3" fillId="3" borderId="0" xfId="0" applyFont="1" applyFill="1" applyAlignment="1">
      <alignment horizontal="center" wrapText="1"/>
    </xf>
    <xf numFmtId="0" fontId="12" fillId="8" borderId="5" xfId="0" applyFont="1" applyFill="1" applyBorder="1" applyAlignment="1">
      <alignment horizontal="center" vertical="center"/>
    </xf>
    <xf numFmtId="0" fontId="12" fillId="8" borderId="6" xfId="0" applyFont="1" applyFill="1" applyBorder="1" applyAlignment="1">
      <alignment horizontal="center" vertical="center"/>
    </xf>
    <xf numFmtId="0" fontId="12" fillId="8" borderId="7"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14" xfId="0" applyFont="1" applyFill="1" applyBorder="1" applyAlignment="1">
      <alignment horizontal="center" vertical="center"/>
    </xf>
    <xf numFmtId="0" fontId="12" fillId="8" borderId="15"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14" fillId="3" borderId="13" xfId="0" applyFont="1" applyFill="1" applyBorder="1" applyAlignment="1">
      <alignment horizontal="left" vertical="top" wrapText="1"/>
    </xf>
    <xf numFmtId="0" fontId="14" fillId="3" borderId="14" xfId="0" applyFont="1" applyFill="1" applyBorder="1" applyAlignment="1">
      <alignment horizontal="left" vertical="top" wrapText="1"/>
    </xf>
    <xf numFmtId="0" fontId="14" fillId="3" borderId="15" xfId="0" applyFont="1" applyFill="1" applyBorder="1" applyAlignment="1">
      <alignment horizontal="left" vertical="top" wrapText="1"/>
    </xf>
    <xf numFmtId="0" fontId="14" fillId="3" borderId="16" xfId="0" applyFont="1" applyFill="1" applyBorder="1" applyAlignment="1">
      <alignment horizontal="left" vertical="top" wrapText="1"/>
    </xf>
    <xf numFmtId="0" fontId="14" fillId="3" borderId="8" xfId="0" applyFont="1" applyFill="1" applyBorder="1" applyAlignment="1">
      <alignment horizontal="left" vertical="top" wrapText="1"/>
    </xf>
    <xf numFmtId="0" fontId="14" fillId="3" borderId="9" xfId="0" applyFont="1" applyFill="1" applyBorder="1" applyAlignment="1">
      <alignment horizontal="left" vertical="top" wrapText="1"/>
    </xf>
    <xf numFmtId="0" fontId="14" fillId="3" borderId="10" xfId="0" applyFont="1" applyFill="1" applyBorder="1" applyAlignment="1">
      <alignment horizontal="left" vertical="top" wrapText="1"/>
    </xf>
    <xf numFmtId="0" fontId="3" fillId="3" borderId="10" xfId="0" applyFont="1" applyFill="1" applyBorder="1" applyAlignment="1">
      <alignment horizontal="center" vertical="center"/>
    </xf>
    <xf numFmtId="0" fontId="5" fillId="3" borderId="10" xfId="0" applyFont="1" applyFill="1" applyBorder="1" applyAlignment="1">
      <alignment horizontal="left" vertical="top"/>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12" fillId="8" borderId="18" xfId="0" applyFont="1" applyFill="1" applyBorder="1" applyAlignment="1">
      <alignment horizontal="center" vertical="center"/>
    </xf>
    <xf numFmtId="0" fontId="12" fillId="8" borderId="4" xfId="0" applyFont="1" applyFill="1" applyBorder="1" applyAlignment="1">
      <alignment horizontal="center" vertical="center"/>
    </xf>
    <xf numFmtId="0" fontId="12" fillId="3" borderId="25" xfId="0" applyFont="1" applyFill="1" applyBorder="1" applyAlignment="1">
      <alignment horizontal="left" vertical="top" wrapText="1"/>
    </xf>
    <xf numFmtId="0" fontId="12" fillId="3" borderId="10" xfId="0" applyFont="1" applyFill="1" applyBorder="1" applyAlignment="1">
      <alignment horizontal="left" vertical="top"/>
    </xf>
    <xf numFmtId="0" fontId="12" fillId="3" borderId="26" xfId="0" applyFont="1" applyFill="1" applyBorder="1" applyAlignment="1">
      <alignment horizontal="left" vertical="top"/>
    </xf>
    <xf numFmtId="0" fontId="12" fillId="3" borderId="25" xfId="0" applyFont="1" applyFill="1" applyBorder="1" applyAlignment="1">
      <alignment horizontal="left" vertical="top"/>
    </xf>
    <xf numFmtId="0" fontId="5" fillId="3" borderId="10" xfId="0" applyFont="1" applyFill="1" applyBorder="1" applyAlignment="1">
      <alignment horizontal="left" vertical="top" wrapText="1"/>
    </xf>
    <xf numFmtId="0" fontId="14" fillId="8" borderId="10" xfId="0" applyFont="1" applyFill="1" applyBorder="1" applyAlignment="1">
      <alignment horizontal="center" vertical="center"/>
    </xf>
    <xf numFmtId="0" fontId="3" fillId="3" borderId="10" xfId="0" applyFont="1" applyFill="1" applyBorder="1" applyAlignment="1">
      <alignment horizontal="left" vertical="top" wrapText="1"/>
    </xf>
    <xf numFmtId="0" fontId="3" fillId="3" borderId="10" xfId="0" applyFont="1" applyFill="1" applyBorder="1" applyAlignment="1">
      <alignment horizontal="left" vertical="top"/>
    </xf>
    <xf numFmtId="0" fontId="3" fillId="3" borderId="13" xfId="0" applyFont="1" applyFill="1" applyBorder="1" applyAlignment="1">
      <alignment horizontal="left" vertical="top" wrapText="1"/>
    </xf>
    <xf numFmtId="0" fontId="3" fillId="3" borderId="14" xfId="0" applyFont="1" applyFill="1" applyBorder="1" applyAlignment="1">
      <alignment horizontal="left" vertical="top"/>
    </xf>
    <xf numFmtId="0" fontId="3" fillId="3" borderId="15" xfId="0" applyFont="1" applyFill="1" applyBorder="1" applyAlignment="1">
      <alignment horizontal="left" vertical="top"/>
    </xf>
    <xf numFmtId="0" fontId="3" fillId="3" borderId="16" xfId="0" applyFont="1" applyFill="1" applyBorder="1" applyAlignment="1">
      <alignment horizontal="left" vertical="top"/>
    </xf>
    <xf numFmtId="0" fontId="3" fillId="3" borderId="8" xfId="0" applyFont="1" applyFill="1" applyBorder="1" applyAlignment="1">
      <alignment horizontal="left" vertical="top"/>
    </xf>
    <xf numFmtId="0" fontId="3" fillId="3" borderId="9" xfId="0" applyFont="1" applyFill="1" applyBorder="1" applyAlignment="1">
      <alignment horizontal="left" vertical="top"/>
    </xf>
    <xf numFmtId="0" fontId="3" fillId="3" borderId="19" xfId="0" applyFont="1" applyFill="1" applyBorder="1" applyAlignment="1">
      <alignment horizontal="left" vertical="top" wrapText="1"/>
    </xf>
    <xf numFmtId="0" fontId="3" fillId="3" borderId="0" xfId="0" applyFont="1" applyFill="1" applyBorder="1" applyAlignment="1">
      <alignment horizontal="left" vertical="top"/>
    </xf>
    <xf numFmtId="0" fontId="3" fillId="3" borderId="20" xfId="0" applyFont="1" applyFill="1" applyBorder="1" applyAlignment="1">
      <alignment horizontal="left" vertical="top"/>
    </xf>
    <xf numFmtId="0" fontId="5" fillId="3" borderId="21" xfId="0" applyFont="1" applyFill="1" applyBorder="1" applyAlignment="1">
      <alignment horizontal="left" vertical="top"/>
    </xf>
    <xf numFmtId="0" fontId="5" fillId="3" borderId="22" xfId="0" applyFont="1" applyFill="1" applyBorder="1" applyAlignment="1">
      <alignment horizontal="left" vertical="top"/>
    </xf>
    <xf numFmtId="0" fontId="5" fillId="3" borderId="23" xfId="0" applyFont="1" applyFill="1" applyBorder="1" applyAlignment="1">
      <alignment horizontal="left" vertical="top"/>
    </xf>
    <xf numFmtId="0" fontId="12" fillId="8" borderId="8" xfId="0" applyFont="1" applyFill="1" applyBorder="1" applyAlignment="1">
      <alignment horizontal="center" vertical="center"/>
    </xf>
    <xf numFmtId="0" fontId="12" fillId="8" borderId="9" xfId="0" applyFont="1" applyFill="1" applyBorder="1" applyAlignment="1">
      <alignment horizontal="center" vertical="center"/>
    </xf>
    <xf numFmtId="0" fontId="3" fillId="3" borderId="24" xfId="0" applyFont="1" applyFill="1" applyBorder="1" applyAlignment="1">
      <alignment horizontal="left" vertical="top" wrapText="1"/>
    </xf>
    <xf numFmtId="0" fontId="3" fillId="3" borderId="24" xfId="0" applyFont="1" applyFill="1" applyBorder="1" applyAlignment="1">
      <alignment horizontal="left" vertical="top"/>
    </xf>
    <xf numFmtId="0" fontId="14" fillId="3" borderId="10" xfId="0" applyFont="1" applyFill="1" applyBorder="1" applyAlignment="1">
      <alignment horizontal="left" vertical="top"/>
    </xf>
    <xf numFmtId="0" fontId="7" fillId="2" borderId="10" xfId="0" applyFont="1" applyFill="1" applyBorder="1" applyAlignment="1">
      <alignment horizontal="center" vertical="center" wrapText="1"/>
    </xf>
    <xf numFmtId="0" fontId="3" fillId="3" borderId="25" xfId="0" applyFont="1" applyFill="1" applyBorder="1" applyAlignment="1">
      <alignment horizontal="left" vertical="top" wrapText="1"/>
    </xf>
    <xf numFmtId="0" fontId="3" fillId="3" borderId="26" xfId="0" applyFont="1" applyFill="1" applyBorder="1" applyAlignment="1">
      <alignment horizontal="left" vertical="top"/>
    </xf>
    <xf numFmtId="0" fontId="3" fillId="3" borderId="25" xfId="0" applyFont="1" applyFill="1" applyBorder="1" applyAlignment="1">
      <alignment horizontal="left" vertical="top"/>
    </xf>
    <xf numFmtId="0" fontId="7" fillId="9" borderId="10" xfId="0" applyFont="1" applyFill="1" applyBorder="1" applyAlignment="1">
      <alignment horizontal="center" vertical="center" wrapText="1"/>
    </xf>
    <xf numFmtId="0" fontId="3" fillId="3" borderId="0" xfId="0" applyFont="1" applyFill="1" applyBorder="1" applyAlignment="1">
      <alignment horizontal="left" vertical="top" wrapText="1"/>
    </xf>
    <xf numFmtId="0" fontId="3" fillId="3" borderId="16"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20"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3" xfId="0" applyFont="1" applyFill="1" applyBorder="1" applyAlignment="1">
      <alignment horizontal="center" vertical="center"/>
    </xf>
    <xf numFmtId="0" fontId="3" fillId="3" borderId="12" xfId="0" applyFont="1" applyFill="1" applyBorder="1" applyAlignment="1">
      <alignment horizontal="center" vertical="center"/>
    </xf>
    <xf numFmtId="0" fontId="5" fillId="3" borderId="27" xfId="0" applyFont="1" applyFill="1" applyBorder="1" applyAlignment="1">
      <alignment horizontal="left" vertical="top" wrapText="1"/>
    </xf>
    <xf numFmtId="0" fontId="5" fillId="3" borderId="24" xfId="0" applyFont="1" applyFill="1" applyBorder="1" applyAlignment="1">
      <alignment horizontal="left" vertical="top" wrapText="1"/>
    </xf>
    <xf numFmtId="0" fontId="5" fillId="3" borderId="28" xfId="0" applyFont="1" applyFill="1" applyBorder="1" applyAlignment="1">
      <alignment horizontal="left" vertical="top" wrapText="1"/>
    </xf>
    <xf numFmtId="0" fontId="5" fillId="3" borderId="29" xfId="0" applyFont="1" applyFill="1" applyBorder="1" applyAlignment="1">
      <alignment horizontal="left" vertical="top" wrapText="1"/>
    </xf>
    <xf numFmtId="0" fontId="5" fillId="3" borderId="22" xfId="0" applyFont="1" applyFill="1" applyBorder="1" applyAlignment="1">
      <alignment horizontal="left" vertical="top" wrapText="1"/>
    </xf>
    <xf numFmtId="0" fontId="5" fillId="3" borderId="30" xfId="0" applyFont="1" applyFill="1" applyBorder="1" applyAlignment="1">
      <alignment horizontal="left" vertical="top" wrapText="1"/>
    </xf>
    <xf numFmtId="0" fontId="4" fillId="3" borderId="0" xfId="0" applyFont="1" applyFill="1" applyAlignment="1">
      <alignment horizontal="left" wrapText="1"/>
    </xf>
    <xf numFmtId="0" fontId="6" fillId="2" borderId="0" xfId="0" applyFont="1" applyFill="1" applyAlignment="1">
      <alignment horizontal="left" vertical="center"/>
    </xf>
    <xf numFmtId="0" fontId="9" fillId="2" borderId="0" xfId="0" applyFont="1" applyFill="1" applyAlignment="1">
      <alignment horizontal="left" vertical="center" indent="2"/>
    </xf>
    <xf numFmtId="0" fontId="6" fillId="2" borderId="0" xfId="0" applyFont="1" applyFill="1" applyAlignment="1">
      <alignment horizontal="left" vertical="center" indent="1"/>
    </xf>
    <xf numFmtId="0" fontId="9" fillId="2" borderId="2" xfId="0" applyFont="1" applyFill="1" applyBorder="1" applyAlignment="1">
      <alignment horizontal="left" vertical="center" indent="2"/>
    </xf>
    <xf numFmtId="0" fontId="13" fillId="8" borderId="10" xfId="0" applyFont="1" applyFill="1" applyBorder="1" applyAlignment="1">
      <alignment horizontal="center" vertical="center"/>
    </xf>
    <xf numFmtId="0" fontId="11" fillId="8" borderId="10" xfId="0" applyFont="1" applyFill="1" applyBorder="1" applyAlignment="1">
      <alignment horizontal="center" vertical="center"/>
    </xf>
    <xf numFmtId="0" fontId="3" fillId="3" borderId="3"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3" borderId="12" xfId="0" applyFont="1" applyFill="1" applyBorder="1" applyAlignment="1">
      <alignment horizontal="left" vertical="top" wrapText="1"/>
    </xf>
    <xf numFmtId="0" fontId="3" fillId="0" borderId="10" xfId="0" applyFont="1" applyBorder="1" applyAlignment="1">
      <alignment horizontal="left" vertical="top" wrapText="1"/>
    </xf>
    <xf numFmtId="0" fontId="3" fillId="0" borderId="10"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3"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13" fillId="8" borderId="26" xfId="0" applyFont="1" applyFill="1" applyBorder="1" applyAlignment="1">
      <alignment horizontal="center" vertical="center"/>
    </xf>
    <xf numFmtId="0" fontId="13" fillId="8" borderId="31" xfId="0" applyFont="1" applyFill="1" applyBorder="1" applyAlignment="1">
      <alignment horizontal="center" vertical="center"/>
    </xf>
    <xf numFmtId="0" fontId="13" fillId="8" borderId="25" xfId="0" applyFont="1" applyFill="1" applyBorder="1" applyAlignment="1">
      <alignment horizontal="center" vertical="center"/>
    </xf>
    <xf numFmtId="0" fontId="3" fillId="3" borderId="17" xfId="0" applyFont="1" applyFill="1" applyBorder="1" applyAlignment="1">
      <alignment horizontal="left" vertical="top"/>
    </xf>
    <xf numFmtId="0" fontId="3" fillId="3" borderId="18" xfId="0" applyFont="1" applyFill="1" applyBorder="1" applyAlignment="1">
      <alignment horizontal="left" vertical="top"/>
    </xf>
    <xf numFmtId="0" fontId="3" fillId="3" borderId="14" xfId="0" applyFont="1" applyFill="1" applyBorder="1" applyAlignment="1">
      <alignment horizontal="left" vertical="top" wrapText="1"/>
    </xf>
    <xf numFmtId="0" fontId="3" fillId="3" borderId="15" xfId="0" applyFont="1" applyFill="1" applyBorder="1" applyAlignment="1">
      <alignment horizontal="left" vertical="top" wrapText="1"/>
    </xf>
    <xf numFmtId="0" fontId="3" fillId="3" borderId="13" xfId="0" applyFont="1" applyFill="1" applyBorder="1" applyAlignment="1">
      <alignment horizontal="left" vertical="top"/>
    </xf>
  </cellXfs>
  <cellStyles count="1">
    <cellStyle name="Normal" xfId="0" builtinId="0"/>
  </cellStyles>
  <dxfs count="20">
    <dxf>
      <fill>
        <patternFill>
          <bgColor rgb="FFFFC000"/>
        </patternFill>
      </fill>
    </dxf>
    <dxf>
      <fill>
        <patternFill>
          <bgColor rgb="FF92D050"/>
        </patternFill>
      </fill>
    </dxf>
    <dxf>
      <font>
        <color theme="0"/>
      </font>
      <fill>
        <patternFill>
          <bgColor rgb="FFFF0000"/>
        </patternFill>
      </fill>
    </dxf>
    <dxf>
      <fill>
        <patternFill>
          <bgColor rgb="FFFFFF00"/>
        </patternFill>
      </fill>
    </dxf>
    <dxf>
      <fill>
        <patternFill>
          <bgColor rgb="FFFFC000"/>
        </patternFill>
      </fill>
    </dxf>
    <dxf>
      <fill>
        <patternFill>
          <bgColor rgb="FF92D050"/>
        </patternFill>
      </fill>
    </dxf>
    <dxf>
      <font>
        <color theme="0"/>
      </font>
      <fill>
        <patternFill>
          <bgColor rgb="FFFF0000"/>
        </patternFill>
      </fill>
    </dxf>
    <dxf>
      <fill>
        <patternFill>
          <bgColor rgb="FFFFFF00"/>
        </patternFill>
      </fill>
    </dxf>
    <dxf>
      <fill>
        <patternFill>
          <bgColor rgb="FFFFC0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s>
  <tableStyles count="0" defaultTableStyle="TableStyleMedium2" defaultPivotStyle="PivotStyleLight16"/>
  <colors>
    <mruColors>
      <color rgb="FFFFFFC1"/>
      <color rgb="FFFBFF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581615</xdr:colOff>
      <xdr:row>7</xdr:row>
      <xdr:rowOff>43792</xdr:rowOff>
    </xdr:from>
    <xdr:to>
      <xdr:col>25</xdr:col>
      <xdr:colOff>495890</xdr:colOff>
      <xdr:row>44</xdr:row>
      <xdr:rowOff>98195</xdr:rowOff>
    </xdr:to>
    <xdr:sp macro="" textlink="">
      <xdr:nvSpPr>
        <xdr:cNvPr id="2" name="Tekstfelt 1">
          <a:extLst>
            <a:ext uri="{FF2B5EF4-FFF2-40B4-BE49-F238E27FC236}">
              <a16:creationId xmlns:a16="http://schemas.microsoft.com/office/drawing/2014/main" id="{196F0B94-6B22-40B3-9601-D78F99620047}"/>
            </a:ext>
          </a:extLst>
        </xdr:cNvPr>
        <xdr:cNvSpPr txBox="1"/>
      </xdr:nvSpPr>
      <xdr:spPr>
        <a:xfrm>
          <a:off x="6934888" y="1595287"/>
          <a:ext cx="8437677" cy="6957573"/>
        </a:xfrm>
        <a:prstGeom prst="rect">
          <a:avLst/>
        </a:prstGeom>
        <a:solidFill>
          <a:schemeClr val="tx2"/>
        </a:solidFill>
        <a:ln w="38100"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200" b="1">
            <a:solidFill>
              <a:schemeClr val="bg1"/>
            </a:solidFill>
            <a:latin typeface="Arial" panose="020B0604020202020204" pitchFamily="34" charset="0"/>
            <a:cs typeface="Arial" panose="020B0604020202020204" pitchFamily="34" charset="0"/>
          </a:endParaRPr>
        </a:p>
        <a:p>
          <a:r>
            <a:rPr lang="da-DK" sz="1200" b="1">
              <a:solidFill>
                <a:schemeClr val="bg1"/>
              </a:solidFill>
              <a:latin typeface="Arial" panose="020B0604020202020204" pitchFamily="34" charset="0"/>
              <a:cs typeface="Arial" panose="020B0604020202020204" pitchFamily="34" charset="0"/>
            </a:rPr>
            <a:t>TJEKLISTE TIL KVALITETSSIKRING</a:t>
          </a:r>
        </a:p>
        <a:p>
          <a:endParaRPr lang="da-DK" sz="120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a:solidFill>
                <a:schemeClr val="bg1"/>
              </a:solidFill>
              <a:latin typeface="Arial" panose="020B0604020202020204" pitchFamily="34" charset="0"/>
              <a:cs typeface="Arial" panose="020B0604020202020204" pitchFamily="34" charset="0"/>
            </a:rPr>
            <a:t>B</a:t>
          </a:r>
          <a:r>
            <a:rPr lang="da-DK" sz="1200" baseline="0">
              <a:solidFill>
                <a:schemeClr val="bg1"/>
              </a:solidFill>
              <a:latin typeface="Arial" panose="020B0604020202020204" pitchFamily="34" charset="0"/>
              <a:cs typeface="Arial" panose="020B0604020202020204" pitchFamily="34" charset="0"/>
            </a:rPr>
            <a:t>ehandlingsaktivitet, samt hvorfor det er nødvendigt at gennemføre en konsekvensanalyse, er beskrevet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Dokumentet er struktureret logisk og systematisk</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Konsekvensanalysen er skrevet i klart og tilgængeligt sprog, og eventuelle tekniske termer og forkortelser, der er blevet brugt, er beskrevet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Rollefordelingen mellem de involverede aktører er klart beskrevet. Det samme er datastrømme og den tekniske understøttelse af løsningen, herunder ved brug af diagrammer og bilag om nødvendigt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Datastrømmene mellem systemer, personer, organisationer og eventuelt lande er klart og tydeligt beskrevet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Det er klart beskrevet, hvordan overholdelse af databeskyttelsesreglerne sikres</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Det er klart beskrevet, hvordan de registreredes rettigheder kan iagttages</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Alle relevante risici for de registreredes rettigheder og frihedsrettigheder er identificeret. Risicienes sandsynlighed og alvor er vurderet, og alle relevante mitigerende foranstaltninger er beskrevet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Det er klart beskrevet, hvordan de påtænkte foranstaltninger konkret mitigerer de identificerede risici</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Den eventuelle interessentinddragelse er beskrevet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Overholdelse af eventuelle godkendte adfærdskodekser er inddraget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Relevante bilag, f.eks. privatlivspolitikker, dokumentation vedrørende databehandlere, dokumentation vedrørende behandlingssikkerhed mv., er vedlagt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Høring af Datatilsynet, hvis der har vist sig at være høje risici som ikke kunne mitigeres, er foretaget</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Der er lagt en plan for, hvornår og hvordan de relevante mitigerende foranstaltninger implementeres</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Konsekvensanalysen er blevet forelagt ledelsen, og ledelsen har godkendt analysen</a:t>
          </a:r>
        </a:p>
        <a:p>
          <a:pPr marL="171450" indent="-171450">
            <a:buFont typeface="Wingdings" panose="05000000000000000000" pitchFamily="2" charset="2"/>
            <a:buChar char="q"/>
          </a:pPr>
          <a:endParaRPr lang="da-DK" sz="1200" baseline="0">
            <a:solidFill>
              <a:schemeClr val="bg1"/>
            </a:solidFill>
            <a:latin typeface="Arial" panose="020B0604020202020204" pitchFamily="34" charset="0"/>
            <a:cs typeface="Arial" panose="020B0604020202020204" pitchFamily="34" charset="0"/>
          </a:endParaRPr>
        </a:p>
        <a:p>
          <a:pPr marL="171450" indent="-171450">
            <a:buFont typeface="Wingdings" panose="05000000000000000000" pitchFamily="2" charset="2"/>
            <a:buChar char="q"/>
          </a:pPr>
          <a:r>
            <a:rPr lang="da-DK" sz="1200" baseline="0">
              <a:solidFill>
                <a:schemeClr val="bg1"/>
              </a:solidFill>
              <a:latin typeface="Arial" panose="020B0604020202020204" pitchFamily="34" charset="0"/>
              <a:cs typeface="Arial" panose="020B0604020202020204" pitchFamily="34" charset="0"/>
            </a:rPr>
            <a:t>En passende periode for at genbesøge, og om nødvendigt ajourføre analysen, er fastlagt</a:t>
          </a:r>
        </a:p>
      </xdr:txBody>
    </xdr:sp>
    <xdr:clientData/>
  </xdr:twoCellAnchor>
  <xdr:twoCellAnchor>
    <xdr:from>
      <xdr:col>1</xdr:col>
      <xdr:colOff>9525</xdr:colOff>
      <xdr:row>7</xdr:row>
      <xdr:rowOff>43792</xdr:rowOff>
    </xdr:from>
    <xdr:to>
      <xdr:col>11</xdr:col>
      <xdr:colOff>352424</xdr:colOff>
      <xdr:row>44</xdr:row>
      <xdr:rowOff>98195</xdr:rowOff>
    </xdr:to>
    <xdr:sp macro="" textlink="">
      <xdr:nvSpPr>
        <xdr:cNvPr id="3" name="Tekstfelt 2">
          <a:extLst>
            <a:ext uri="{FF2B5EF4-FFF2-40B4-BE49-F238E27FC236}">
              <a16:creationId xmlns:a16="http://schemas.microsoft.com/office/drawing/2014/main" id="{E1038D79-3B2C-4314-83AB-7498912072AC}"/>
            </a:ext>
          </a:extLst>
        </xdr:cNvPr>
        <xdr:cNvSpPr txBox="1"/>
      </xdr:nvSpPr>
      <xdr:spPr>
        <a:xfrm>
          <a:off x="274654" y="1595287"/>
          <a:ext cx="6431043" cy="6957573"/>
        </a:xfrm>
        <a:prstGeom prst="rect">
          <a:avLst/>
        </a:prstGeom>
        <a:solidFill>
          <a:schemeClr val="tx2"/>
        </a:solidFill>
        <a:ln w="38100"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200" baseline="0">
            <a:solidFill>
              <a:schemeClr val="bg1"/>
            </a:solidFill>
            <a:latin typeface="Arial" panose="020B0604020202020204" pitchFamily="34" charset="0"/>
            <a:cs typeface="Arial" panose="020B0604020202020204" pitchFamily="34" charset="0"/>
          </a:endParaRPr>
        </a:p>
        <a:p>
          <a:r>
            <a:rPr lang="da-DK" sz="1200" b="1" baseline="0">
              <a:solidFill>
                <a:schemeClr val="bg1"/>
              </a:solidFill>
              <a:latin typeface="Arial" panose="020B0604020202020204" pitchFamily="34" charset="0"/>
              <a:cs typeface="Arial" panose="020B0604020202020204" pitchFamily="34" charset="0"/>
            </a:rPr>
            <a:t>KONSEKVENSANALYSE VEDRØRENDE DATABESKYTTELSE </a:t>
          </a:r>
        </a:p>
        <a:p>
          <a:endParaRPr lang="da-DK" sz="1200" b="1" baseline="0">
            <a:solidFill>
              <a:schemeClr val="bg1"/>
            </a:solidFill>
            <a:latin typeface="Arial" panose="020B0604020202020204" pitchFamily="34" charset="0"/>
            <a:cs typeface="Arial" panose="020B0604020202020204" pitchFamily="34" charset="0"/>
          </a:endParaRPr>
        </a:p>
        <a:p>
          <a:r>
            <a:rPr lang="da-DK" sz="1200" b="0" baseline="0">
              <a:solidFill>
                <a:schemeClr val="bg1"/>
              </a:solidFill>
              <a:latin typeface="Arial" panose="020B0604020202020204" pitchFamily="34" charset="0"/>
              <a:cs typeface="Arial" panose="020B0604020202020204" pitchFamily="34" charset="0"/>
            </a:rPr>
            <a:t>En konsekvensanalyse er et krav efter databeskyttelsesreglerne. Analysen er et værktøj, som gør det muligt at arbejde med de risici, som en behandlingsaktivitet kan indebære, på en systematisk måde.</a:t>
          </a:r>
        </a:p>
        <a:p>
          <a:endParaRPr lang="da-DK" sz="1200" b="0" baseline="0">
            <a:solidFill>
              <a:schemeClr val="bg1"/>
            </a:solidFill>
            <a:latin typeface="Arial" panose="020B0604020202020204" pitchFamily="34" charset="0"/>
            <a:cs typeface="Arial" panose="020B0604020202020204" pitchFamily="34" charset="0"/>
          </a:endParaRPr>
        </a:p>
        <a:p>
          <a:r>
            <a:rPr lang="da-DK" sz="1200" b="0" baseline="0">
              <a:solidFill>
                <a:schemeClr val="bg1"/>
              </a:solidFill>
              <a:latin typeface="Arial" panose="020B0604020202020204" pitchFamily="34" charset="0"/>
              <a:cs typeface="Arial" panose="020B0604020202020204" pitchFamily="34" charset="0"/>
            </a:rPr>
            <a:t>Analysen skal gennemføres, hvis en behandlingsaktivitet sandsynligvis vil indebære høje risici for de registrerede.</a:t>
          </a:r>
        </a:p>
        <a:p>
          <a:endParaRPr lang="da-DK" sz="1200" b="0" baseline="0">
            <a:solidFill>
              <a:schemeClr val="bg1"/>
            </a:solidFill>
            <a:latin typeface="Arial" panose="020B0604020202020204" pitchFamily="34" charset="0"/>
            <a:cs typeface="Arial" panose="020B0604020202020204" pitchFamily="34" charset="0"/>
          </a:endParaRPr>
        </a:p>
        <a:p>
          <a:r>
            <a:rPr lang="da-DK" sz="1200" b="0" baseline="0">
              <a:solidFill>
                <a:schemeClr val="bg1"/>
              </a:solidFill>
              <a:latin typeface="Arial" panose="020B0604020202020204" pitchFamily="34" charset="0"/>
              <a:cs typeface="Arial" panose="020B0604020202020204" pitchFamily="34" charset="0"/>
            </a:rPr>
            <a:t>Reglerne om konsekvensanalyse og eventuel høring af Datatilsynet skal sikre, at ingen behandling, hvor der er en iboende høj risiko, igangsættes, uden man har arbejdet med og nedbragt sådanne risici.</a:t>
          </a:r>
        </a:p>
        <a:p>
          <a:endParaRPr lang="da-DK" sz="1200" b="0" baseline="0">
            <a:solidFill>
              <a:schemeClr val="bg1"/>
            </a:solidFill>
            <a:latin typeface="Arial" panose="020B0604020202020204" pitchFamily="34" charset="0"/>
            <a:cs typeface="Arial" panose="020B0604020202020204" pitchFamily="34" charset="0"/>
          </a:endParaRPr>
        </a:p>
        <a:p>
          <a:r>
            <a:rPr lang="da-DK" sz="1200" b="1" baseline="0">
              <a:solidFill>
                <a:schemeClr val="bg1"/>
              </a:solidFill>
              <a:latin typeface="Arial" panose="020B0604020202020204" pitchFamily="34" charset="0"/>
              <a:cs typeface="Arial" panose="020B0604020202020204" pitchFamily="34" charset="0"/>
            </a:rPr>
            <a:t>HVORDAN GENNEMFØRES ANALYSEN?</a:t>
          </a:r>
        </a:p>
        <a:p>
          <a:endParaRPr lang="da-DK" sz="1200" b="1" baseline="0">
            <a:solidFill>
              <a:schemeClr val="bg1"/>
            </a:solidFill>
            <a:latin typeface="Arial" panose="020B0604020202020204" pitchFamily="34" charset="0"/>
            <a:cs typeface="Arial" panose="020B0604020202020204" pitchFamily="34" charset="0"/>
          </a:endParaRPr>
        </a:p>
        <a:p>
          <a:r>
            <a:rPr lang="da-DK" sz="1200" b="0" baseline="0">
              <a:solidFill>
                <a:schemeClr val="bg1"/>
              </a:solidFill>
              <a:latin typeface="Arial" panose="020B0604020202020204" pitchFamily="34" charset="0"/>
              <a:cs typeface="Arial" panose="020B0604020202020204" pitchFamily="34" charset="0"/>
            </a:rPr>
            <a:t>En analyse bør iværksættes tidligt i et projektforløb, og inden en behandlingsaktivitet iværksættes. Analysen bør ske sideløbende med projektforløbet og omfatte følgende:</a:t>
          </a:r>
        </a:p>
        <a:p>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1) Vurdering af, om en konsekvensanalyse er nødvendig</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2) Beskrivelse af behandlingsaktiviteten</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3) Vurdering af lovlighed</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4) Identifikation og vurdering af risici</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5) Identifikation og implementering af relevante mitigerende foranstaltninger</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6) Rådførelse med relevante interessenter</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7) Planlægning af, hvornår og hvordan relevante foranstaltninger implementeres</a:t>
          </a:r>
        </a:p>
        <a:p>
          <a:pPr marL="180000"/>
          <a:endParaRPr lang="da-DK" sz="1200" b="0" baseline="0">
            <a:solidFill>
              <a:schemeClr val="bg1"/>
            </a:solidFill>
            <a:latin typeface="Arial" panose="020B0604020202020204" pitchFamily="34" charset="0"/>
            <a:cs typeface="Arial" panose="020B0604020202020204" pitchFamily="34" charset="0"/>
          </a:endParaRPr>
        </a:p>
        <a:p>
          <a:pPr marL="180000"/>
          <a:r>
            <a:rPr lang="da-DK" sz="1200" b="0" baseline="0">
              <a:solidFill>
                <a:schemeClr val="bg1"/>
              </a:solidFill>
              <a:latin typeface="Arial" panose="020B0604020202020204" pitchFamily="34" charset="0"/>
              <a:cs typeface="Arial" panose="020B0604020202020204" pitchFamily="34" charset="0"/>
            </a:rPr>
            <a:t>8) Regelmæssig ajourføring</a:t>
          </a:r>
        </a:p>
        <a:p>
          <a:pPr marL="180000"/>
          <a:endParaRPr lang="da-DK" sz="1200" b="0" baseline="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20</xdr:col>
      <xdr:colOff>169407</xdr:colOff>
      <xdr:row>2</xdr:row>
      <xdr:rowOff>10577</xdr:rowOff>
    </xdr:from>
    <xdr:to>
      <xdr:col>25</xdr:col>
      <xdr:colOff>456408</xdr:colOff>
      <xdr:row>4</xdr:row>
      <xdr:rowOff>129223</xdr:rowOff>
    </xdr:to>
    <xdr:pic>
      <xdr:nvPicPr>
        <xdr:cNvPr id="5" name="Billede 4">
          <a:extLst>
            <a:ext uri="{FF2B5EF4-FFF2-40B4-BE49-F238E27FC236}">
              <a16:creationId xmlns:a16="http://schemas.microsoft.com/office/drawing/2014/main" id="{5221F51C-31D8-4C27-AF98-27078FD65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02010" y="197149"/>
          <a:ext cx="3331073" cy="737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268430</xdr:colOff>
      <xdr:row>0</xdr:row>
      <xdr:rowOff>216477</xdr:rowOff>
    </xdr:from>
    <xdr:to>
      <xdr:col>23</xdr:col>
      <xdr:colOff>8659</xdr:colOff>
      <xdr:row>5</xdr:row>
      <xdr:rowOff>554182</xdr:rowOff>
    </xdr:to>
    <xdr:sp macro="" textlink="">
      <xdr:nvSpPr>
        <xdr:cNvPr id="4" name="Tekstfelt 3">
          <a:extLst>
            <a:ext uri="{FF2B5EF4-FFF2-40B4-BE49-F238E27FC236}">
              <a16:creationId xmlns:a16="http://schemas.microsoft.com/office/drawing/2014/main" id="{05D920B7-0C34-4222-A62C-D86D14AB2BD7}"/>
            </a:ext>
          </a:extLst>
        </xdr:cNvPr>
        <xdr:cNvSpPr txBox="1"/>
      </xdr:nvSpPr>
      <xdr:spPr>
        <a:xfrm>
          <a:off x="13309021" y="216477"/>
          <a:ext cx="5195456" cy="338570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600"/>
            </a:lnSpc>
          </a:pPr>
          <a:r>
            <a:rPr lang="da-DK" sz="1200" b="1">
              <a:solidFill>
                <a:schemeClr val="bg1"/>
              </a:solidFill>
              <a:latin typeface="Arial" panose="020B0604020202020204" pitchFamily="34" charset="0"/>
              <a:cs typeface="Arial" panose="020B0604020202020204" pitchFamily="34" charset="0"/>
            </a:rPr>
            <a:t>SYSTEMATISK BESKRIVELSE AF BEHANDLINGSAKTIVITETEN?</a:t>
          </a:r>
          <a:endParaRPr lang="da-DK" sz="1200" b="1" baseline="0">
            <a:solidFill>
              <a:schemeClr val="bg1"/>
            </a:solidFill>
            <a:latin typeface="Arial" panose="020B0604020202020204" pitchFamily="34" charset="0"/>
            <a:cs typeface="Arial" panose="020B0604020202020204" pitchFamily="34" charset="0"/>
          </a:endParaRPr>
        </a:p>
        <a:p>
          <a:pPr>
            <a:lnSpc>
              <a:spcPts val="1600"/>
            </a:lnSpc>
          </a:pPr>
          <a:endParaRPr lang="da-DK" sz="1200">
            <a:solidFill>
              <a:schemeClr val="bg1"/>
            </a:solidFill>
            <a:latin typeface="Arial" panose="020B0604020202020204" pitchFamily="34" charset="0"/>
            <a:cs typeface="Arial" panose="020B0604020202020204" pitchFamily="34" charset="0"/>
          </a:endParaRPr>
        </a:p>
        <a:p>
          <a:pPr>
            <a:lnSpc>
              <a:spcPts val="1600"/>
            </a:lnSpc>
          </a:pPr>
          <a:r>
            <a:rPr lang="da-DK" sz="1200">
              <a:solidFill>
                <a:schemeClr val="bg1"/>
              </a:solidFill>
              <a:latin typeface="Arial" panose="020B0604020202020204" pitchFamily="34" charset="0"/>
              <a:cs typeface="Arial" panose="020B0604020202020204" pitchFamily="34" charset="0"/>
            </a:rPr>
            <a:t>Ifølge databeskyttelsesreglerne skal en konsekvensanalyse indeholde en </a:t>
          </a:r>
          <a:r>
            <a:rPr lang="da-DK" sz="1200" i="1">
              <a:solidFill>
                <a:schemeClr val="bg1"/>
              </a:solidFill>
              <a:latin typeface="Arial" panose="020B0604020202020204" pitchFamily="34" charset="0"/>
              <a:cs typeface="Arial" panose="020B0604020202020204" pitchFamily="34" charset="0"/>
            </a:rPr>
            <a:t>systematisk beskrivelse af de planlagte behandlingsaktiviteter</a:t>
          </a:r>
          <a:r>
            <a:rPr lang="da-DK" sz="1200">
              <a:solidFill>
                <a:schemeClr val="bg1"/>
              </a:solidFill>
              <a:latin typeface="Arial" panose="020B0604020202020204" pitchFamily="34" charset="0"/>
              <a:cs typeface="Arial" panose="020B0604020202020204" pitchFamily="34" charset="0"/>
            </a:rPr>
            <a:t>. Det er forudsætningen for at kunne foretage en fyldestgørende vurdering af aktivitetens lovlighed samt identificere alle relevante risici.</a:t>
          </a:r>
        </a:p>
        <a:p>
          <a:pPr>
            <a:lnSpc>
              <a:spcPts val="1600"/>
            </a:lnSpc>
          </a:pPr>
          <a:endParaRPr lang="da-DK" sz="1200">
            <a:solidFill>
              <a:schemeClr val="bg1"/>
            </a:solidFill>
            <a:latin typeface="Arial" panose="020B0604020202020204" pitchFamily="34" charset="0"/>
            <a:cs typeface="Arial" panose="020B0604020202020204" pitchFamily="34" charset="0"/>
          </a:endParaRPr>
        </a:p>
        <a:p>
          <a:pPr>
            <a:lnSpc>
              <a:spcPts val="1600"/>
            </a:lnSpc>
          </a:pPr>
          <a:r>
            <a:rPr lang="da-DK" sz="1200">
              <a:solidFill>
                <a:schemeClr val="bg1"/>
              </a:solidFill>
              <a:latin typeface="Arial" panose="020B0604020202020204" pitchFamily="34" charset="0"/>
              <a:cs typeface="Arial" panose="020B0604020202020204" pitchFamily="34" charset="0"/>
            </a:rPr>
            <a:t>Skemaet nedenfor er et udgangspunkt for, hvilke dele af behandlingsaktiviteten der skal beskrives. Spørgsmålene skal tjene som en rettesnor og behøver ikke nødvendigvis alle blive besvaret konkret og fyldestgørende. </a:t>
          </a:r>
        </a:p>
        <a:p>
          <a:pPr>
            <a:lnSpc>
              <a:spcPts val="1600"/>
            </a:lnSpc>
          </a:pPr>
          <a:endParaRPr lang="da-DK" sz="1200">
            <a:solidFill>
              <a:schemeClr val="bg1"/>
            </a:solidFill>
            <a:latin typeface="Arial" panose="020B0604020202020204" pitchFamily="34" charset="0"/>
            <a:cs typeface="Arial" panose="020B0604020202020204" pitchFamily="34" charset="0"/>
          </a:endParaRPr>
        </a:p>
        <a:p>
          <a:pPr>
            <a:lnSpc>
              <a:spcPts val="1600"/>
            </a:lnSpc>
          </a:pPr>
          <a:r>
            <a:rPr lang="da-DK" sz="1200" b="1">
              <a:solidFill>
                <a:schemeClr val="bg1"/>
              </a:solidFill>
              <a:latin typeface="Arial" panose="020B0604020202020204" pitchFamily="34" charset="0"/>
              <a:cs typeface="Arial" panose="020B0604020202020204" pitchFamily="34" charset="0"/>
            </a:rPr>
            <a:t>Det væsentligste er, at der er tale om en fuldstændig og helhedsorienteret beskrivelse af behandlingsaktiviteten som gør det muligt at foretage den nødvendige vurdering af lovligheden</a:t>
          </a:r>
          <a:r>
            <a:rPr lang="da-DK" sz="1200" b="1" baseline="0">
              <a:solidFill>
                <a:schemeClr val="bg1"/>
              </a:solidFill>
              <a:latin typeface="Arial" panose="020B0604020202020204" pitchFamily="34" charset="0"/>
              <a:cs typeface="Arial" panose="020B0604020202020204" pitchFamily="34" charset="0"/>
            </a:rPr>
            <a:t> og </a:t>
          </a:r>
          <a:r>
            <a:rPr lang="da-DK" sz="1200" b="1">
              <a:solidFill>
                <a:schemeClr val="bg1"/>
              </a:solidFill>
              <a:latin typeface="Arial" panose="020B0604020202020204" pitchFamily="34" charset="0"/>
              <a:cs typeface="Arial" panose="020B0604020202020204" pitchFamily="34" charset="0"/>
            </a:rPr>
            <a:t>identificere risiciene samt de relevante</a:t>
          </a:r>
          <a:r>
            <a:rPr lang="da-DK" sz="1200" b="1" baseline="0">
              <a:solidFill>
                <a:schemeClr val="bg1"/>
              </a:solidFill>
              <a:latin typeface="Arial" panose="020B0604020202020204" pitchFamily="34" charset="0"/>
              <a:cs typeface="Arial" panose="020B0604020202020204" pitchFamily="34" charset="0"/>
            </a:rPr>
            <a:t> mitigerende foranstaltninger</a:t>
          </a:r>
          <a:r>
            <a:rPr lang="da-DK" sz="1200" b="1">
              <a:solidFill>
                <a:schemeClr val="bg1"/>
              </a:solidFill>
              <a:latin typeface="Arial" panose="020B0604020202020204" pitchFamily="34" charset="0"/>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361950</xdr:colOff>
      <xdr:row>2</xdr:row>
      <xdr:rowOff>727364</xdr:rowOff>
    </xdr:from>
    <xdr:to>
      <xdr:col>7</xdr:col>
      <xdr:colOff>268432</xdr:colOff>
      <xdr:row>9</xdr:row>
      <xdr:rowOff>8659</xdr:rowOff>
    </xdr:to>
    <xdr:sp macro="" textlink="">
      <xdr:nvSpPr>
        <xdr:cNvPr id="2" name="Tekstfelt 1">
          <a:extLst>
            <a:ext uri="{FF2B5EF4-FFF2-40B4-BE49-F238E27FC236}">
              <a16:creationId xmlns:a16="http://schemas.microsoft.com/office/drawing/2014/main" id="{655E61B4-4575-4385-B466-A887ED9351DB}"/>
            </a:ext>
          </a:extLst>
        </xdr:cNvPr>
        <xdr:cNvSpPr txBox="1"/>
      </xdr:nvSpPr>
      <xdr:spPr>
        <a:xfrm>
          <a:off x="361950" y="1420091"/>
          <a:ext cx="3906982" cy="6096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200">
            <a:solidFill>
              <a:schemeClr val="bg1"/>
            </a:solidFill>
            <a:effectLst/>
            <a:latin typeface="Arial" panose="020B0604020202020204" pitchFamily="34" charset="0"/>
            <a:ea typeface="+mn-ea"/>
            <a:cs typeface="Arial" panose="020B0604020202020204" pitchFamily="34" charset="0"/>
          </a:endParaRPr>
        </a:p>
        <a:p>
          <a:r>
            <a:rPr lang="da-DK" sz="1200">
              <a:solidFill>
                <a:schemeClr val="bg1"/>
              </a:solidFill>
              <a:effectLst/>
              <a:latin typeface="Arial" panose="020B0604020202020204" pitchFamily="34" charset="0"/>
              <a:ea typeface="+mn-ea"/>
              <a:cs typeface="Arial" panose="020B0604020202020204" pitchFamily="34" charset="0"/>
            </a:rPr>
            <a:t>Efter at have vurderet om udvikling</a:t>
          </a:r>
          <a:r>
            <a:rPr lang="da-DK" sz="1200" baseline="0">
              <a:solidFill>
                <a:schemeClr val="bg1"/>
              </a:solidFill>
              <a:effectLst/>
              <a:latin typeface="Arial" panose="020B0604020202020204" pitchFamily="34" charset="0"/>
              <a:ea typeface="+mn-ea"/>
              <a:cs typeface="Arial" panose="020B0604020202020204" pitchFamily="34" charset="0"/>
            </a:rPr>
            <a:t> og drift af AI-løsningen </a:t>
          </a:r>
          <a:r>
            <a:rPr lang="da-DK" sz="1200">
              <a:solidFill>
                <a:schemeClr val="bg1"/>
              </a:solidFill>
              <a:effectLst/>
              <a:latin typeface="Arial" panose="020B0604020202020204" pitchFamily="34" charset="0"/>
              <a:ea typeface="+mn-ea"/>
              <a:cs typeface="Arial" panose="020B0604020202020204" pitchFamily="34" charset="0"/>
            </a:rPr>
            <a:t>kan ske</a:t>
          </a:r>
          <a:r>
            <a:rPr lang="da-DK" sz="1200" baseline="0">
              <a:solidFill>
                <a:schemeClr val="bg1"/>
              </a:solidFill>
              <a:effectLst/>
              <a:latin typeface="Arial" panose="020B0604020202020204" pitchFamily="34" charset="0"/>
              <a:ea typeface="+mn-ea"/>
              <a:cs typeface="Arial" panose="020B0604020202020204" pitchFamily="34" charset="0"/>
            </a:rPr>
            <a:t> </a:t>
          </a:r>
          <a:r>
            <a:rPr lang="da-DK" sz="1200">
              <a:solidFill>
                <a:schemeClr val="bg1"/>
              </a:solidFill>
              <a:effectLst/>
              <a:latin typeface="Arial" panose="020B0604020202020204" pitchFamily="34" charset="0"/>
              <a:ea typeface="+mn-ea"/>
              <a:cs typeface="Arial" panose="020B0604020202020204" pitchFamily="34" charset="0"/>
            </a:rPr>
            <a:t>lovligt – og i givet fald hvordan – skal risiciene for de registreredes rettigheder og frihedsrettigheder identificeres og evalueres.</a:t>
          </a:r>
        </a:p>
        <a:p>
          <a:r>
            <a:rPr lang="da-DK" sz="1200">
              <a:solidFill>
                <a:schemeClr val="bg1"/>
              </a:solidFill>
              <a:effectLst/>
              <a:latin typeface="Arial" panose="020B0604020202020204" pitchFamily="34" charset="0"/>
              <a:ea typeface="+mn-ea"/>
              <a:cs typeface="Arial" panose="020B0604020202020204" pitchFamily="34" charset="0"/>
            </a:rPr>
            <a:t> </a:t>
          </a:r>
        </a:p>
        <a:p>
          <a:r>
            <a:rPr lang="da-DK" sz="1200">
              <a:solidFill>
                <a:schemeClr val="bg1"/>
              </a:solidFill>
              <a:effectLst/>
              <a:latin typeface="Arial" panose="020B0604020202020204" pitchFamily="34" charset="0"/>
              <a:ea typeface="+mn-ea"/>
              <a:cs typeface="Arial" panose="020B0604020202020204" pitchFamily="34" charset="0"/>
            </a:rPr>
            <a:t>”Risiko” vurderes i denne model med udgangspunkt i scenarier, som beskriver hændelser med et negativt resultat. Sandsynligheden for, at disse hændelser</a:t>
          </a:r>
          <a:r>
            <a:rPr lang="da-DK" sz="1200" baseline="0">
              <a:solidFill>
                <a:schemeClr val="bg1"/>
              </a:solidFill>
              <a:effectLst/>
              <a:latin typeface="Arial" panose="020B0604020202020204" pitchFamily="34" charset="0"/>
              <a:ea typeface="+mn-ea"/>
              <a:cs typeface="Arial" panose="020B0604020202020204" pitchFamily="34" charset="0"/>
            </a:rPr>
            <a:t> indtræffer og alvoren (</a:t>
          </a:r>
          <a:r>
            <a:rPr lang="da-DK" sz="1200">
              <a:solidFill>
                <a:schemeClr val="bg1"/>
              </a:solidFill>
              <a:effectLst/>
              <a:latin typeface="Arial" panose="020B0604020202020204" pitchFamily="34" charset="0"/>
              <a:ea typeface="+mn-ea"/>
              <a:cs typeface="Arial" panose="020B0604020202020204" pitchFamily="34" charset="0"/>
            </a:rPr>
            <a:t>konsekvenserne for de registrerede</a:t>
          </a:r>
          <a:r>
            <a:rPr lang="da-DK" sz="1200" baseline="0">
              <a:solidFill>
                <a:schemeClr val="bg1"/>
              </a:solidFill>
              <a:effectLst/>
              <a:latin typeface="Arial" panose="020B0604020202020204" pitchFamily="34" charset="0"/>
              <a:ea typeface="+mn-ea"/>
              <a:cs typeface="Arial" panose="020B0604020202020204" pitchFamily="34" charset="0"/>
            </a:rPr>
            <a:t>)</a:t>
          </a:r>
          <a:r>
            <a:rPr lang="da-DK" sz="1200">
              <a:solidFill>
                <a:schemeClr val="bg1"/>
              </a:solidFill>
              <a:effectLst/>
              <a:latin typeface="Arial" panose="020B0604020202020204" pitchFamily="34" charset="0"/>
              <a:ea typeface="+mn-ea"/>
              <a:cs typeface="Arial" panose="020B0604020202020204" pitchFamily="34" charset="0"/>
            </a:rPr>
            <a:t>, ved at de indtræffer,</a:t>
          </a:r>
          <a:r>
            <a:rPr lang="da-DK" sz="1200" baseline="0">
              <a:solidFill>
                <a:schemeClr val="bg1"/>
              </a:solidFill>
              <a:effectLst/>
              <a:latin typeface="Arial" panose="020B0604020202020204" pitchFamily="34" charset="0"/>
              <a:ea typeface="+mn-ea"/>
              <a:cs typeface="Arial" panose="020B0604020202020204" pitchFamily="34" charset="0"/>
            </a:rPr>
            <a:t> </a:t>
          </a:r>
          <a:r>
            <a:rPr lang="da-DK" sz="1200">
              <a:solidFill>
                <a:schemeClr val="bg1"/>
              </a:solidFill>
              <a:effectLst/>
              <a:latin typeface="Arial" panose="020B0604020202020204" pitchFamily="34" charset="0"/>
              <a:ea typeface="+mn-ea"/>
              <a:cs typeface="Arial" panose="020B0604020202020204" pitchFamily="34" charset="0"/>
            </a:rPr>
            <a:t>udgør tilsammen risikoen</a:t>
          </a:r>
          <a:r>
            <a:rPr lang="da-DK" sz="1200" baseline="0">
              <a:solidFill>
                <a:schemeClr val="bg1"/>
              </a:solidFill>
              <a:effectLst/>
              <a:latin typeface="Arial" panose="020B0604020202020204" pitchFamily="34" charset="0"/>
              <a:ea typeface="+mn-ea"/>
              <a:cs typeface="Arial" panose="020B0604020202020204" pitchFamily="34" charset="0"/>
            </a:rPr>
            <a:t> for de registrerede.</a:t>
          </a:r>
          <a:endParaRPr lang="da-DK" sz="1200">
            <a:solidFill>
              <a:schemeClr val="bg1"/>
            </a:solidFill>
            <a:effectLst/>
            <a:latin typeface="Arial" panose="020B0604020202020204" pitchFamily="34" charset="0"/>
            <a:ea typeface="+mn-ea"/>
            <a:cs typeface="Arial" panose="020B0604020202020204" pitchFamily="34" charset="0"/>
          </a:endParaRPr>
        </a:p>
        <a:p>
          <a:r>
            <a:rPr lang="da-DK" sz="1200">
              <a:solidFill>
                <a:schemeClr val="bg1"/>
              </a:solidFill>
              <a:effectLst/>
              <a:latin typeface="Arial" panose="020B0604020202020204" pitchFamily="34" charset="0"/>
              <a:ea typeface="+mn-ea"/>
              <a:cs typeface="Arial" panose="020B0604020202020204" pitchFamily="34" charset="0"/>
            </a:rPr>
            <a:t> </a:t>
          </a:r>
        </a:p>
        <a:p>
          <a:r>
            <a:rPr lang="da-DK" sz="1200">
              <a:solidFill>
                <a:schemeClr val="bg1"/>
              </a:solidFill>
              <a:effectLst/>
              <a:latin typeface="Arial" panose="020B0604020202020204" pitchFamily="34" charset="0"/>
              <a:ea typeface="+mn-ea"/>
              <a:cs typeface="Arial" panose="020B0604020202020204" pitchFamily="34" charset="0"/>
            </a:rPr>
            <a:t>Konsekvenser for den registrerede ved</a:t>
          </a:r>
          <a:r>
            <a:rPr lang="da-DK" sz="1200" baseline="0">
              <a:solidFill>
                <a:schemeClr val="bg1"/>
              </a:solidFill>
              <a:effectLst/>
              <a:latin typeface="Arial" panose="020B0604020202020204" pitchFamily="34" charset="0"/>
              <a:ea typeface="+mn-ea"/>
              <a:cs typeface="Arial" panose="020B0604020202020204" pitchFamily="34" charset="0"/>
            </a:rPr>
            <a:t> </a:t>
          </a:r>
          <a:r>
            <a:rPr lang="da-DK" sz="1200">
              <a:solidFill>
                <a:schemeClr val="bg1"/>
              </a:solidFill>
              <a:effectLst/>
              <a:latin typeface="Arial" panose="020B0604020202020204" pitchFamily="34" charset="0"/>
              <a:ea typeface="+mn-ea"/>
              <a:cs typeface="Arial" panose="020B0604020202020204" pitchFamily="34" charset="0"/>
            </a:rPr>
            <a:t>behandling af personoplysninger kan f.eks. være fysisk, materiel eller immateriel skade, navnlig hvis behandlingen kan give anledning til forskelsbehandling, identitetstyveri eller -svig, finansielle tab, skade på omdømme, tab af fortrolighed for personoplysninger, der er omfattet af tavshedspligt, uautoriseret ophævelse af pseudonymisering eller andre betydelige økonomiske eller sociale konsekvenser.</a:t>
          </a:r>
        </a:p>
        <a:p>
          <a:r>
            <a:rPr lang="da-DK" sz="1200">
              <a:solidFill>
                <a:schemeClr val="bg1"/>
              </a:solidFill>
              <a:effectLst/>
              <a:latin typeface="Arial" panose="020B0604020202020204" pitchFamily="34" charset="0"/>
              <a:ea typeface="+mn-ea"/>
              <a:cs typeface="Arial" panose="020B0604020202020204" pitchFamily="34" charset="0"/>
            </a:rPr>
            <a:t> </a:t>
          </a:r>
        </a:p>
        <a:p>
          <a:r>
            <a:rPr lang="da-DK" sz="1200">
              <a:solidFill>
                <a:schemeClr val="bg1"/>
              </a:solidFill>
              <a:effectLst/>
              <a:latin typeface="Arial" panose="020B0604020202020204" pitchFamily="34" charset="0"/>
              <a:ea typeface="+mn-ea"/>
              <a:cs typeface="Arial" panose="020B0604020202020204" pitchFamily="34" charset="0"/>
            </a:rPr>
            <a:t>Risikoens sandsynlighed og alvor for så vidt angår den registreredes rettigheder og frihedsrettigheder bør bestemmes med henvisning til behandlingens karakter, omfang, sammenhæng og formål. Risikoen bør evalueres på grundlag af en objektiv vurdering, hvorved det fastslås, om databehandlingsaktiviteter indebærer en risiko eller en høj risiko.</a:t>
          </a:r>
        </a:p>
        <a:p>
          <a:endParaRPr lang="da-DK" sz="1200">
            <a:solidFill>
              <a:schemeClr val="bg1"/>
            </a:solidFill>
            <a:effectLst/>
            <a:latin typeface="Arial" panose="020B0604020202020204" pitchFamily="34" charset="0"/>
            <a:ea typeface="+mn-ea"/>
            <a:cs typeface="Arial" panose="020B0604020202020204" pitchFamily="34" charset="0"/>
          </a:endParaRPr>
        </a:p>
        <a:p>
          <a:r>
            <a:rPr lang="da-DK" sz="1200">
              <a:solidFill>
                <a:schemeClr val="bg1"/>
              </a:solidFill>
              <a:effectLst/>
              <a:latin typeface="Arial" panose="020B0604020202020204" pitchFamily="34" charset="0"/>
              <a:ea typeface="+mn-ea"/>
              <a:cs typeface="Arial" panose="020B0604020202020204" pitchFamily="34" charset="0"/>
            </a:rPr>
            <a:t>Risiciene for de</a:t>
          </a:r>
          <a:r>
            <a:rPr lang="da-DK" sz="1200" baseline="0">
              <a:solidFill>
                <a:schemeClr val="bg1"/>
              </a:solidFill>
              <a:effectLst/>
              <a:latin typeface="Arial" panose="020B0604020202020204" pitchFamily="34" charset="0"/>
              <a:ea typeface="+mn-ea"/>
              <a:cs typeface="Arial" panose="020B0604020202020204" pitchFamily="34" charset="0"/>
            </a:rPr>
            <a:t> registreredes rettigheder og frihedsrettigheder evalueres ud fra følgende kriterier for sandsynlighed og konsekvens:</a:t>
          </a:r>
          <a:endParaRPr lang="da-DK" sz="1200">
            <a:solidFill>
              <a:schemeClr val="bg1"/>
            </a:solidFill>
            <a:effectLst/>
            <a:latin typeface="Arial" panose="020B0604020202020204" pitchFamily="34" charset="0"/>
            <a:ea typeface="+mn-ea"/>
            <a:cs typeface="Arial" panose="020B0604020202020204" pitchFamily="34" charset="0"/>
          </a:endParaRPr>
        </a:p>
      </xdr:txBody>
    </xdr:sp>
    <xdr:clientData/>
  </xdr:twoCellAnchor>
  <xdr:twoCellAnchor>
    <xdr:from>
      <xdr:col>21</xdr:col>
      <xdr:colOff>336175</xdr:colOff>
      <xdr:row>3</xdr:row>
      <xdr:rowOff>1</xdr:rowOff>
    </xdr:from>
    <xdr:to>
      <xdr:col>26</xdr:col>
      <xdr:colOff>705969</xdr:colOff>
      <xdr:row>6</xdr:row>
      <xdr:rowOff>795618</xdr:rowOff>
    </xdr:to>
    <xdr:sp macro="" textlink="">
      <xdr:nvSpPr>
        <xdr:cNvPr id="6" name="Tekstfelt 5">
          <a:extLst>
            <a:ext uri="{FF2B5EF4-FFF2-40B4-BE49-F238E27FC236}">
              <a16:creationId xmlns:a16="http://schemas.microsoft.com/office/drawing/2014/main" id="{956B597E-1C87-4FC2-8B5D-2D2477A8BD4E}"/>
            </a:ext>
          </a:extLst>
        </xdr:cNvPr>
        <xdr:cNvSpPr txBox="1"/>
      </xdr:nvSpPr>
      <xdr:spPr>
        <a:xfrm>
          <a:off x="29023234" y="997325"/>
          <a:ext cx="3888441" cy="3171264"/>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800" b="1" i="0" u="none" strike="noStrike">
              <a:solidFill>
                <a:schemeClr val="bg1"/>
              </a:solidFill>
              <a:effectLst/>
              <a:latin typeface="Arial" panose="020B0604020202020204" pitchFamily="34" charset="0"/>
              <a:ea typeface="+mn-ea"/>
              <a:cs typeface="Arial" panose="020B0604020202020204" pitchFamily="34" charset="0"/>
            </a:rPr>
            <a:t>Høring af Datatilsynet </a:t>
          </a:r>
        </a:p>
        <a:p>
          <a:endParaRPr lang="da-DK" sz="1200" b="0" i="0" u="none" strike="noStrike">
            <a:solidFill>
              <a:schemeClr val="bg1"/>
            </a:solidFill>
            <a:effectLst/>
            <a:latin typeface="Arial" panose="020B0604020202020204" pitchFamily="34" charset="0"/>
            <a:ea typeface="+mn-ea"/>
            <a:cs typeface="Arial" panose="020B0604020202020204" pitchFamily="34" charset="0"/>
          </a:endParaRPr>
        </a:p>
        <a:p>
          <a:r>
            <a:rPr lang="da-DK" sz="1200" b="0" i="0" u="none" strike="noStrike">
              <a:solidFill>
                <a:schemeClr val="bg1"/>
              </a:solidFill>
              <a:effectLst/>
              <a:latin typeface="Arial" panose="020B0604020202020204" pitchFamily="34" charset="0"/>
              <a:ea typeface="+mn-ea"/>
              <a:cs typeface="Arial" panose="020B0604020202020204" pitchFamily="34" charset="0"/>
            </a:rPr>
            <a:t>Du har pligt til at foretage en forudgående høring af Datatilsynet, inden du påbegynder en påtænkt behandlingsaktivitet, hvis din konsekvensanalyse viser, at behandlingen vil indebære en eller flere høje risici, og du ikke kan mitigere disse risici til et mellem eller lavt niveau.</a:t>
          </a:r>
          <a:br>
            <a:rPr lang="da-DK" sz="1200" b="0" i="0" u="none" strike="noStrike">
              <a:solidFill>
                <a:schemeClr val="bg1"/>
              </a:solidFill>
              <a:effectLst/>
              <a:latin typeface="Arial" panose="020B0604020202020204" pitchFamily="34" charset="0"/>
              <a:ea typeface="+mn-ea"/>
              <a:cs typeface="Arial" panose="020B0604020202020204" pitchFamily="34" charset="0"/>
            </a:rPr>
          </a:br>
          <a:br>
            <a:rPr lang="da-DK" sz="1200" b="0" i="0" u="none" strike="noStrike">
              <a:solidFill>
                <a:schemeClr val="bg1"/>
              </a:solidFill>
              <a:effectLst/>
              <a:latin typeface="Arial" panose="020B0604020202020204" pitchFamily="34" charset="0"/>
              <a:ea typeface="+mn-ea"/>
              <a:cs typeface="Arial" panose="020B0604020202020204" pitchFamily="34" charset="0"/>
            </a:rPr>
          </a:br>
          <a:r>
            <a:rPr lang="da-DK" sz="1200" b="0" i="0" u="none" strike="noStrike">
              <a:solidFill>
                <a:schemeClr val="bg1"/>
              </a:solidFill>
              <a:effectLst/>
              <a:latin typeface="Arial" panose="020B0604020202020204" pitchFamily="34" charset="0"/>
              <a:ea typeface="+mn-ea"/>
              <a:cs typeface="Arial" panose="020B0604020202020204" pitchFamily="34" charset="0"/>
            </a:rPr>
            <a:t>Det betyder i praksis, at du altid skal mitigere risici fra niveauerne MEGET HØJ og HØJ til niveauerne MELLEM eller LAV.</a:t>
          </a:r>
          <a:br>
            <a:rPr lang="da-DK" sz="1200" b="0" i="0" u="none" strike="noStrike">
              <a:solidFill>
                <a:schemeClr val="bg1"/>
              </a:solidFill>
              <a:effectLst/>
              <a:latin typeface="Arial" panose="020B0604020202020204" pitchFamily="34" charset="0"/>
              <a:ea typeface="+mn-ea"/>
              <a:cs typeface="Arial" panose="020B0604020202020204" pitchFamily="34" charset="0"/>
            </a:rPr>
          </a:br>
          <a:br>
            <a:rPr lang="da-DK" sz="1200" b="0" i="0" u="none" strike="noStrike">
              <a:solidFill>
                <a:schemeClr val="bg1"/>
              </a:solidFill>
              <a:effectLst/>
              <a:latin typeface="Arial" panose="020B0604020202020204" pitchFamily="34" charset="0"/>
              <a:ea typeface="+mn-ea"/>
              <a:cs typeface="Arial" panose="020B0604020202020204" pitchFamily="34" charset="0"/>
            </a:rPr>
          </a:br>
          <a:r>
            <a:rPr lang="da-DK" sz="1200" b="0" i="0" u="none" strike="noStrike">
              <a:solidFill>
                <a:schemeClr val="bg1"/>
              </a:solidFill>
              <a:effectLst/>
              <a:latin typeface="Arial" panose="020B0604020202020204" pitchFamily="34" charset="0"/>
              <a:ea typeface="+mn-ea"/>
              <a:cs typeface="Arial" panose="020B0604020202020204" pitchFamily="34" charset="0"/>
            </a:rPr>
            <a:t>Hvis det ikke kan lade sig gøre, skal du foretage en forudgående høring af Datatilsynet.</a:t>
          </a:r>
          <a:r>
            <a:rPr lang="da-DK" sz="1200">
              <a:solidFill>
                <a:schemeClr val="bg1"/>
              </a:solidFill>
              <a:latin typeface="Arial" panose="020B0604020202020204" pitchFamily="34" charset="0"/>
              <a:cs typeface="Arial" panose="020B0604020202020204" pitchFamily="34" charset="0"/>
            </a:rPr>
            <a:t> </a:t>
          </a:r>
        </a:p>
      </xdr:txBody>
    </xdr:sp>
    <xdr:clientData/>
  </xdr:twoCellAnchor>
</xdr:wsDr>
</file>

<file path=xl/theme/theme1.xml><?xml version="1.0" encoding="utf-8"?>
<a:theme xmlns:a="http://schemas.openxmlformats.org/drawingml/2006/main" name="Office-tema">
  <a:themeElements>
    <a:clrScheme name="Brugerdefineret 1">
      <a:dk1>
        <a:sysClr val="windowText" lastClr="000000"/>
      </a:dk1>
      <a:lt1>
        <a:sysClr val="window" lastClr="FFFFFF"/>
      </a:lt1>
      <a:dk2>
        <a:srgbClr val="15273F"/>
      </a:dk2>
      <a:lt2>
        <a:srgbClr val="C59E54"/>
      </a:lt2>
      <a:accent1>
        <a:srgbClr val="5DB794"/>
      </a:accent1>
      <a:accent2>
        <a:srgbClr val="009EE0"/>
      </a:accent2>
      <a:accent3>
        <a:srgbClr val="6E82AB"/>
      </a:accent3>
      <a:accent4>
        <a:srgbClr val="E5325C"/>
      </a:accent4>
      <a:accent5>
        <a:srgbClr val="EBD7AF"/>
      </a:accent5>
      <a:accent6>
        <a:srgbClr val="B4BDCC"/>
      </a:accent6>
      <a:hlink>
        <a:srgbClr val="007D53"/>
      </a:hlink>
      <a:folHlink>
        <a:srgbClr val="4D4D4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FB27-D870-4FE8-9285-CA8B0A654180}">
  <sheetPr>
    <pageSetUpPr fitToPage="1"/>
  </sheetPr>
  <dimension ref="B3:S5"/>
  <sheetViews>
    <sheetView tabSelected="1" zoomScale="97" workbookViewId="0">
      <selection activeCell="I47" sqref="I47"/>
    </sheetView>
  </sheetViews>
  <sheetFormatPr defaultRowHeight="15" x14ac:dyDescent="0.25"/>
  <cols>
    <col min="1" max="1" width="4" style="20" customWidth="1"/>
    <col min="2" max="16384" width="9.140625" style="20"/>
  </cols>
  <sheetData>
    <row r="3" spans="2:19" ht="33.75" customHeight="1" x14ac:dyDescent="0.25">
      <c r="B3" s="62" t="s">
        <v>191</v>
      </c>
      <c r="C3" s="62"/>
      <c r="D3" s="62"/>
      <c r="E3" s="62"/>
      <c r="F3" s="62"/>
      <c r="G3" s="62"/>
      <c r="H3" s="62"/>
      <c r="I3" s="62"/>
      <c r="J3" s="62"/>
      <c r="K3" s="62"/>
      <c r="L3" s="62"/>
      <c r="M3" s="62"/>
      <c r="N3" s="62"/>
      <c r="O3" s="62"/>
      <c r="P3" s="62"/>
      <c r="Q3" s="62"/>
      <c r="R3" s="62"/>
      <c r="S3" s="62"/>
    </row>
    <row r="4" spans="2:19" x14ac:dyDescent="0.25">
      <c r="B4" s="62"/>
      <c r="C4" s="62"/>
      <c r="D4" s="62"/>
      <c r="E4" s="62"/>
      <c r="F4" s="62"/>
      <c r="G4" s="62"/>
      <c r="H4" s="62"/>
      <c r="I4" s="62"/>
      <c r="J4" s="62"/>
      <c r="K4" s="62"/>
      <c r="L4" s="62"/>
      <c r="M4" s="62"/>
      <c r="N4" s="62"/>
      <c r="O4" s="62"/>
      <c r="P4" s="62"/>
      <c r="Q4" s="62"/>
      <c r="R4" s="62"/>
      <c r="S4" s="62"/>
    </row>
    <row r="5" spans="2:19" x14ac:dyDescent="0.25">
      <c r="B5" s="62"/>
      <c r="C5" s="62"/>
      <c r="D5" s="62"/>
      <c r="E5" s="62"/>
      <c r="F5" s="62"/>
      <c r="G5" s="62"/>
      <c r="H5" s="62"/>
      <c r="I5" s="62"/>
      <c r="J5" s="62"/>
      <c r="K5" s="62"/>
      <c r="L5" s="62"/>
      <c r="M5" s="62"/>
      <c r="N5" s="62"/>
      <c r="O5" s="62"/>
      <c r="P5" s="62"/>
      <c r="Q5" s="62"/>
      <c r="R5" s="62"/>
      <c r="S5" s="62"/>
    </row>
  </sheetData>
  <mergeCells count="1">
    <mergeCell ref="B3:S5"/>
  </mergeCells>
  <pageMargins left="0.7" right="0.7" top="0.75" bottom="0.75" header="0.3" footer="0.3"/>
  <pageSetup paperSize="8" scale="82"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7852-36DF-4E47-AE21-617ED57BA043}">
  <sheetPr>
    <pageSetUpPr fitToPage="1"/>
  </sheetPr>
  <dimension ref="A1:N13"/>
  <sheetViews>
    <sheetView workbookViewId="0">
      <selection activeCell="A8" sqref="A8:N8"/>
    </sheetView>
  </sheetViews>
  <sheetFormatPr defaultRowHeight="15" x14ac:dyDescent="0.25"/>
  <cols>
    <col min="1" max="8" width="9.140625" style="1"/>
    <col min="9" max="14" width="15.140625" style="1" customWidth="1"/>
    <col min="15" max="16384" width="9.140625" style="1"/>
  </cols>
  <sheetData>
    <row r="1" spans="1:14" ht="38.25" customHeight="1" x14ac:dyDescent="0.25">
      <c r="A1" s="81" t="s">
        <v>278</v>
      </c>
      <c r="B1" s="82"/>
      <c r="C1" s="82"/>
      <c r="D1" s="82"/>
      <c r="E1" s="82"/>
      <c r="F1" s="82"/>
      <c r="G1" s="82"/>
      <c r="H1" s="82"/>
      <c r="I1" s="82"/>
      <c r="J1" s="82"/>
      <c r="K1" s="82"/>
      <c r="L1" s="82"/>
      <c r="M1" s="82"/>
      <c r="N1" s="83"/>
    </row>
    <row r="2" spans="1:14" ht="39.75" customHeight="1" x14ac:dyDescent="0.25">
      <c r="A2" s="63" t="s">
        <v>385</v>
      </c>
      <c r="B2" s="64"/>
      <c r="C2" s="64"/>
      <c r="D2" s="64"/>
      <c r="E2" s="64"/>
      <c r="F2" s="64"/>
      <c r="G2" s="64"/>
      <c r="H2" s="64"/>
      <c r="I2" s="64"/>
      <c r="J2" s="64"/>
      <c r="K2" s="64"/>
      <c r="L2" s="64"/>
      <c r="M2" s="64"/>
      <c r="N2" s="65"/>
    </row>
    <row r="3" spans="1:14" ht="39.75" customHeight="1" x14ac:dyDescent="0.25">
      <c r="A3" s="66"/>
      <c r="B3" s="67"/>
      <c r="C3" s="67"/>
      <c r="D3" s="67"/>
      <c r="E3" s="67"/>
      <c r="F3" s="67"/>
      <c r="G3" s="67"/>
      <c r="H3" s="67"/>
      <c r="I3" s="67"/>
      <c r="J3" s="67"/>
      <c r="K3" s="67"/>
      <c r="L3" s="67"/>
      <c r="M3" s="67"/>
      <c r="N3" s="68"/>
    </row>
    <row r="4" spans="1:14" ht="33" customHeight="1" x14ac:dyDescent="0.25">
      <c r="A4" s="66"/>
      <c r="B4" s="67"/>
      <c r="C4" s="67"/>
      <c r="D4" s="67"/>
      <c r="E4" s="67"/>
      <c r="F4" s="67"/>
      <c r="G4" s="67"/>
      <c r="H4" s="67"/>
      <c r="I4" s="67"/>
      <c r="J4" s="67"/>
      <c r="K4" s="67"/>
      <c r="L4" s="67"/>
      <c r="M4" s="67"/>
      <c r="N4" s="68"/>
    </row>
    <row r="5" spans="1:14" ht="33" customHeight="1" x14ac:dyDescent="0.25">
      <c r="A5" s="66"/>
      <c r="B5" s="67"/>
      <c r="C5" s="67"/>
      <c r="D5" s="67"/>
      <c r="E5" s="67"/>
      <c r="F5" s="67"/>
      <c r="G5" s="67"/>
      <c r="H5" s="67"/>
      <c r="I5" s="67"/>
      <c r="J5" s="67"/>
      <c r="K5" s="67"/>
      <c r="L5" s="67"/>
      <c r="M5" s="67"/>
      <c r="N5" s="68"/>
    </row>
    <row r="6" spans="1:14" ht="47.25" customHeight="1" x14ac:dyDescent="0.25">
      <c r="A6" s="66"/>
      <c r="B6" s="67"/>
      <c r="C6" s="67"/>
      <c r="D6" s="67"/>
      <c r="E6" s="67"/>
      <c r="F6" s="67"/>
      <c r="G6" s="67"/>
      <c r="H6" s="67"/>
      <c r="I6" s="67"/>
      <c r="J6" s="67"/>
      <c r="K6" s="67"/>
      <c r="L6" s="67"/>
      <c r="M6" s="67"/>
      <c r="N6" s="68"/>
    </row>
    <row r="7" spans="1:14" ht="47.25" customHeight="1" x14ac:dyDescent="0.25">
      <c r="A7" s="69"/>
      <c r="B7" s="70"/>
      <c r="C7" s="70"/>
      <c r="D7" s="70"/>
      <c r="E7" s="70"/>
      <c r="F7" s="70"/>
      <c r="G7" s="70"/>
      <c r="H7" s="70"/>
      <c r="I7" s="70"/>
      <c r="J7" s="70"/>
      <c r="K7" s="70"/>
      <c r="L7" s="70"/>
      <c r="M7" s="70"/>
      <c r="N7" s="71"/>
    </row>
    <row r="8" spans="1:14" ht="30.75" customHeight="1" x14ac:dyDescent="0.25">
      <c r="A8" s="81" t="s">
        <v>279</v>
      </c>
      <c r="B8" s="82"/>
      <c r="C8" s="82"/>
      <c r="D8" s="82"/>
      <c r="E8" s="82"/>
      <c r="F8" s="82"/>
      <c r="G8" s="82"/>
      <c r="H8" s="82"/>
      <c r="I8" s="82"/>
      <c r="J8" s="82"/>
      <c r="K8" s="82"/>
      <c r="L8" s="82"/>
      <c r="M8" s="82"/>
      <c r="N8" s="83"/>
    </row>
    <row r="9" spans="1:14" ht="41.25" customHeight="1" x14ac:dyDescent="0.25">
      <c r="A9" s="72" t="s">
        <v>333</v>
      </c>
      <c r="B9" s="73"/>
      <c r="C9" s="73"/>
      <c r="D9" s="73"/>
      <c r="E9" s="73"/>
      <c r="F9" s="73"/>
      <c r="G9" s="73"/>
      <c r="H9" s="73"/>
      <c r="I9" s="73"/>
      <c r="J9" s="73"/>
      <c r="K9" s="73"/>
      <c r="L9" s="73"/>
      <c r="M9" s="73"/>
      <c r="N9" s="74"/>
    </row>
    <row r="10" spans="1:14" ht="41.25" customHeight="1" x14ac:dyDescent="0.25">
      <c r="A10" s="75"/>
      <c r="B10" s="76"/>
      <c r="C10" s="76"/>
      <c r="D10" s="76"/>
      <c r="E10" s="76"/>
      <c r="F10" s="76"/>
      <c r="G10" s="76"/>
      <c r="H10" s="76"/>
      <c r="I10" s="76"/>
      <c r="J10" s="76"/>
      <c r="K10" s="76"/>
      <c r="L10" s="76"/>
      <c r="M10" s="76"/>
      <c r="N10" s="77"/>
    </row>
    <row r="11" spans="1:14" ht="30" customHeight="1" x14ac:dyDescent="0.25">
      <c r="A11" s="75"/>
      <c r="B11" s="76"/>
      <c r="C11" s="76"/>
      <c r="D11" s="76"/>
      <c r="E11" s="76"/>
      <c r="F11" s="76"/>
      <c r="G11" s="76"/>
      <c r="H11" s="76"/>
      <c r="I11" s="76"/>
      <c r="J11" s="76"/>
      <c r="K11" s="76"/>
      <c r="L11" s="76"/>
      <c r="M11" s="76"/>
      <c r="N11" s="77"/>
    </row>
    <row r="12" spans="1:14" ht="30" customHeight="1" x14ac:dyDescent="0.25">
      <c r="A12" s="75"/>
      <c r="B12" s="76"/>
      <c r="C12" s="76"/>
      <c r="D12" s="76"/>
      <c r="E12" s="76"/>
      <c r="F12" s="76"/>
      <c r="G12" s="76"/>
      <c r="H12" s="76"/>
      <c r="I12" s="76"/>
      <c r="J12" s="76"/>
      <c r="K12" s="76"/>
      <c r="L12" s="76"/>
      <c r="M12" s="76"/>
      <c r="N12" s="77"/>
    </row>
    <row r="13" spans="1:14" ht="30" customHeight="1" x14ac:dyDescent="0.25">
      <c r="A13" s="78"/>
      <c r="B13" s="79"/>
      <c r="C13" s="79"/>
      <c r="D13" s="79"/>
      <c r="E13" s="79"/>
      <c r="F13" s="79"/>
      <c r="G13" s="79"/>
      <c r="H13" s="79"/>
      <c r="I13" s="79"/>
      <c r="J13" s="79"/>
      <c r="K13" s="79"/>
      <c r="L13" s="79"/>
      <c r="M13" s="79"/>
      <c r="N13" s="80"/>
    </row>
  </sheetData>
  <mergeCells count="4">
    <mergeCell ref="A2:N7"/>
    <mergeCell ref="A9:N13"/>
    <mergeCell ref="A8:N8"/>
    <mergeCell ref="A1:N1"/>
  </mergeCells>
  <pageMargins left="0.7" right="0.7" top="0.75" bottom="0.75" header="0.3" footer="0.3"/>
  <pageSetup paperSize="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DFE7-91C7-48A6-8116-7A4B6965D370}">
  <sheetPr>
    <pageSetUpPr fitToPage="1"/>
  </sheetPr>
  <dimension ref="A1:N43"/>
  <sheetViews>
    <sheetView zoomScaleNormal="100" workbookViewId="0">
      <selection activeCell="I19" sqref="I19:N20"/>
    </sheetView>
  </sheetViews>
  <sheetFormatPr defaultRowHeight="14.25" x14ac:dyDescent="0.2"/>
  <cols>
    <col min="1" max="1" width="9.140625" style="16"/>
    <col min="2" max="8" width="7.7109375" style="46" customWidth="1"/>
    <col min="9" max="14" width="19.85546875" style="2" customWidth="1"/>
    <col min="15" max="16384" width="9.140625" style="2"/>
  </cols>
  <sheetData>
    <row r="1" spans="1:14" ht="75" customHeight="1" x14ac:dyDescent="0.2">
      <c r="A1" s="61" t="s">
        <v>0</v>
      </c>
      <c r="B1" s="103" t="s">
        <v>177</v>
      </c>
      <c r="C1" s="103"/>
      <c r="D1" s="103"/>
      <c r="E1" s="103"/>
      <c r="F1" s="103"/>
      <c r="G1" s="103"/>
      <c r="H1" s="103"/>
      <c r="I1" s="103"/>
      <c r="J1" s="103"/>
      <c r="K1" s="103"/>
      <c r="L1" s="103"/>
      <c r="M1" s="103"/>
      <c r="N1" s="104"/>
    </row>
    <row r="2" spans="1:14" ht="30" customHeight="1" x14ac:dyDescent="0.2">
      <c r="A2" s="105" t="s">
        <v>174</v>
      </c>
      <c r="B2" s="106"/>
      <c r="C2" s="106"/>
      <c r="D2" s="106"/>
      <c r="E2" s="106"/>
      <c r="F2" s="106"/>
      <c r="G2" s="106"/>
      <c r="H2" s="106"/>
      <c r="I2" s="106"/>
      <c r="J2" s="106"/>
      <c r="K2" s="106"/>
      <c r="L2" s="106"/>
      <c r="M2" s="106"/>
      <c r="N2" s="106"/>
    </row>
    <row r="3" spans="1:14" ht="45" customHeight="1" x14ac:dyDescent="0.2">
      <c r="A3" s="92" t="s">
        <v>11</v>
      </c>
      <c r="B3" s="94" t="s">
        <v>186</v>
      </c>
      <c r="C3" s="95"/>
      <c r="D3" s="95"/>
      <c r="E3" s="95"/>
      <c r="F3" s="95"/>
      <c r="G3" s="95"/>
      <c r="H3" s="96"/>
      <c r="I3" s="72" t="s">
        <v>347</v>
      </c>
      <c r="J3" s="64"/>
      <c r="K3" s="64"/>
      <c r="L3" s="64"/>
      <c r="M3" s="64"/>
      <c r="N3" s="65"/>
    </row>
    <row r="4" spans="1:14" ht="45" customHeight="1" x14ac:dyDescent="0.2">
      <c r="A4" s="93"/>
      <c r="B4" s="97"/>
      <c r="C4" s="98"/>
      <c r="D4" s="98"/>
      <c r="E4" s="98"/>
      <c r="F4" s="98"/>
      <c r="G4" s="98"/>
      <c r="H4" s="99"/>
      <c r="I4" s="69"/>
      <c r="J4" s="70"/>
      <c r="K4" s="70"/>
      <c r="L4" s="70"/>
      <c r="M4" s="70"/>
      <c r="N4" s="71"/>
    </row>
    <row r="5" spans="1:14" s="19" customFormat="1" ht="45" customHeight="1" x14ac:dyDescent="0.25">
      <c r="A5" s="92" t="s">
        <v>12</v>
      </c>
      <c r="B5" s="94" t="s">
        <v>175</v>
      </c>
      <c r="C5" s="95"/>
      <c r="D5" s="95"/>
      <c r="E5" s="95"/>
      <c r="F5" s="95"/>
      <c r="G5" s="95"/>
      <c r="H5" s="96"/>
      <c r="I5" s="72" t="s">
        <v>356</v>
      </c>
      <c r="J5" s="73"/>
      <c r="K5" s="73"/>
      <c r="L5" s="73"/>
      <c r="M5" s="73"/>
      <c r="N5" s="74"/>
    </row>
    <row r="6" spans="1:14" s="19" customFormat="1" ht="45" customHeight="1" x14ac:dyDescent="0.25">
      <c r="A6" s="93"/>
      <c r="B6" s="97"/>
      <c r="C6" s="98"/>
      <c r="D6" s="98"/>
      <c r="E6" s="98"/>
      <c r="F6" s="98"/>
      <c r="G6" s="98"/>
      <c r="H6" s="99"/>
      <c r="I6" s="78"/>
      <c r="J6" s="79"/>
      <c r="K6" s="79"/>
      <c r="L6" s="79"/>
      <c r="M6" s="79"/>
      <c r="N6" s="80"/>
    </row>
    <row r="7" spans="1:14" s="19" customFormat="1" ht="30" customHeight="1" x14ac:dyDescent="0.25">
      <c r="A7" s="86" t="s">
        <v>176</v>
      </c>
      <c r="B7" s="87"/>
      <c r="C7" s="87"/>
      <c r="D7" s="87"/>
      <c r="E7" s="87"/>
      <c r="F7" s="87"/>
      <c r="G7" s="87"/>
      <c r="H7" s="87"/>
      <c r="I7" s="87"/>
      <c r="J7" s="87"/>
      <c r="K7" s="87"/>
      <c r="L7" s="87"/>
      <c r="M7" s="87"/>
      <c r="N7" s="88"/>
    </row>
    <row r="8" spans="1:14" s="19" customFormat="1" ht="45" customHeight="1" x14ac:dyDescent="0.25">
      <c r="A8" s="92" t="s">
        <v>13</v>
      </c>
      <c r="B8" s="94" t="s">
        <v>185</v>
      </c>
      <c r="C8" s="95"/>
      <c r="D8" s="95"/>
      <c r="E8" s="95"/>
      <c r="F8" s="95"/>
      <c r="G8" s="95"/>
      <c r="H8" s="96"/>
      <c r="I8" s="72" t="s">
        <v>299</v>
      </c>
      <c r="J8" s="73"/>
      <c r="K8" s="73"/>
      <c r="L8" s="73"/>
      <c r="M8" s="73"/>
      <c r="N8" s="74"/>
    </row>
    <row r="9" spans="1:14" s="19" customFormat="1" ht="45" customHeight="1" x14ac:dyDescent="0.25">
      <c r="A9" s="93"/>
      <c r="B9" s="97"/>
      <c r="C9" s="98"/>
      <c r="D9" s="98"/>
      <c r="E9" s="98"/>
      <c r="F9" s="98"/>
      <c r="G9" s="98"/>
      <c r="H9" s="99"/>
      <c r="I9" s="78"/>
      <c r="J9" s="79"/>
      <c r="K9" s="79"/>
      <c r="L9" s="79"/>
      <c r="M9" s="79"/>
      <c r="N9" s="80"/>
    </row>
    <row r="10" spans="1:14" s="19" customFormat="1" ht="45" customHeight="1" x14ac:dyDescent="0.25">
      <c r="A10" s="92" t="s">
        <v>14</v>
      </c>
      <c r="B10" s="94" t="s">
        <v>184</v>
      </c>
      <c r="C10" s="95"/>
      <c r="D10" s="95"/>
      <c r="E10" s="95"/>
      <c r="F10" s="95"/>
      <c r="G10" s="95"/>
      <c r="H10" s="96"/>
      <c r="I10" s="72" t="s">
        <v>386</v>
      </c>
      <c r="J10" s="73"/>
      <c r="K10" s="73"/>
      <c r="L10" s="73"/>
      <c r="M10" s="73"/>
      <c r="N10" s="74"/>
    </row>
    <row r="11" spans="1:14" s="19" customFormat="1" ht="45" customHeight="1" x14ac:dyDescent="0.25">
      <c r="A11" s="93"/>
      <c r="B11" s="97"/>
      <c r="C11" s="98"/>
      <c r="D11" s="98"/>
      <c r="E11" s="98"/>
      <c r="F11" s="98"/>
      <c r="G11" s="98"/>
      <c r="H11" s="99"/>
      <c r="I11" s="78"/>
      <c r="J11" s="79"/>
      <c r="K11" s="79"/>
      <c r="L11" s="79"/>
      <c r="M11" s="79"/>
      <c r="N11" s="80"/>
    </row>
    <row r="12" spans="1:14" s="19" customFormat="1" ht="45" customHeight="1" x14ac:dyDescent="0.25">
      <c r="A12" s="92" t="s">
        <v>39</v>
      </c>
      <c r="B12" s="94" t="s">
        <v>178</v>
      </c>
      <c r="C12" s="95"/>
      <c r="D12" s="95"/>
      <c r="E12" s="95"/>
      <c r="F12" s="95"/>
      <c r="G12" s="95"/>
      <c r="H12" s="96"/>
      <c r="I12" s="72" t="s">
        <v>373</v>
      </c>
      <c r="J12" s="73"/>
      <c r="K12" s="73"/>
      <c r="L12" s="73"/>
      <c r="M12" s="73"/>
      <c r="N12" s="74"/>
    </row>
    <row r="13" spans="1:14" s="19" customFormat="1" ht="45" customHeight="1" x14ac:dyDescent="0.25">
      <c r="A13" s="93"/>
      <c r="B13" s="97"/>
      <c r="C13" s="98"/>
      <c r="D13" s="98"/>
      <c r="E13" s="98"/>
      <c r="F13" s="98"/>
      <c r="G13" s="98"/>
      <c r="H13" s="99"/>
      <c r="I13" s="78"/>
      <c r="J13" s="79"/>
      <c r="K13" s="79"/>
      <c r="L13" s="79"/>
      <c r="M13" s="79"/>
      <c r="N13" s="80"/>
    </row>
    <row r="14" spans="1:14" s="19" customFormat="1" ht="45" customHeight="1" x14ac:dyDescent="0.25">
      <c r="A14" s="92" t="s">
        <v>40</v>
      </c>
      <c r="B14" s="94" t="s">
        <v>180</v>
      </c>
      <c r="C14" s="95"/>
      <c r="D14" s="95"/>
      <c r="E14" s="95"/>
      <c r="F14" s="95"/>
      <c r="G14" s="95"/>
      <c r="H14" s="96"/>
      <c r="I14" s="72" t="s">
        <v>374</v>
      </c>
      <c r="J14" s="73"/>
      <c r="K14" s="73"/>
      <c r="L14" s="73"/>
      <c r="M14" s="73"/>
      <c r="N14" s="74"/>
    </row>
    <row r="15" spans="1:14" s="19" customFormat="1" ht="45" customHeight="1" x14ac:dyDescent="0.25">
      <c r="A15" s="93"/>
      <c r="B15" s="97"/>
      <c r="C15" s="98"/>
      <c r="D15" s="98"/>
      <c r="E15" s="98"/>
      <c r="F15" s="98"/>
      <c r="G15" s="98"/>
      <c r="H15" s="99"/>
      <c r="I15" s="78"/>
      <c r="J15" s="79"/>
      <c r="K15" s="79"/>
      <c r="L15" s="79"/>
      <c r="M15" s="79"/>
      <c r="N15" s="80"/>
    </row>
    <row r="16" spans="1:14" s="19" customFormat="1" ht="45" customHeight="1" x14ac:dyDescent="0.25">
      <c r="A16" s="92" t="s">
        <v>50</v>
      </c>
      <c r="B16" s="94" t="s">
        <v>179</v>
      </c>
      <c r="C16" s="95"/>
      <c r="D16" s="95"/>
      <c r="E16" s="95"/>
      <c r="F16" s="95"/>
      <c r="G16" s="95"/>
      <c r="H16" s="96"/>
      <c r="I16" s="72" t="s">
        <v>377</v>
      </c>
      <c r="J16" s="73"/>
      <c r="K16" s="73"/>
      <c r="L16" s="73"/>
      <c r="M16" s="73"/>
      <c r="N16" s="74"/>
    </row>
    <row r="17" spans="1:14" s="19" customFormat="1" ht="45" customHeight="1" x14ac:dyDescent="0.25">
      <c r="A17" s="93"/>
      <c r="B17" s="97"/>
      <c r="C17" s="98"/>
      <c r="D17" s="98"/>
      <c r="E17" s="98"/>
      <c r="F17" s="98"/>
      <c r="G17" s="98"/>
      <c r="H17" s="99"/>
      <c r="I17" s="78"/>
      <c r="J17" s="79"/>
      <c r="K17" s="79"/>
      <c r="L17" s="79"/>
      <c r="M17" s="79"/>
      <c r="N17" s="80"/>
    </row>
    <row r="18" spans="1:14" s="19" customFormat="1" ht="30" customHeight="1" x14ac:dyDescent="0.25">
      <c r="A18" s="86" t="s">
        <v>48</v>
      </c>
      <c r="B18" s="87"/>
      <c r="C18" s="87"/>
      <c r="D18" s="87"/>
      <c r="E18" s="87"/>
      <c r="F18" s="87"/>
      <c r="G18" s="87"/>
      <c r="H18" s="87"/>
      <c r="I18" s="87"/>
      <c r="J18" s="87"/>
      <c r="K18" s="87"/>
      <c r="L18" s="87"/>
      <c r="M18" s="87"/>
      <c r="N18" s="88"/>
    </row>
    <row r="19" spans="1:14" s="19" customFormat="1" ht="45" customHeight="1" x14ac:dyDescent="0.25">
      <c r="A19" s="92" t="s">
        <v>51</v>
      </c>
      <c r="B19" s="94" t="s">
        <v>182</v>
      </c>
      <c r="C19" s="95"/>
      <c r="D19" s="95"/>
      <c r="E19" s="95"/>
      <c r="F19" s="95"/>
      <c r="G19" s="95"/>
      <c r="H19" s="96"/>
      <c r="I19" s="72" t="s">
        <v>387</v>
      </c>
      <c r="J19" s="73"/>
      <c r="K19" s="73"/>
      <c r="L19" s="73"/>
      <c r="M19" s="73"/>
      <c r="N19" s="74"/>
    </row>
    <row r="20" spans="1:14" s="19" customFormat="1" ht="45" customHeight="1" x14ac:dyDescent="0.25">
      <c r="A20" s="93"/>
      <c r="B20" s="97"/>
      <c r="C20" s="98"/>
      <c r="D20" s="98"/>
      <c r="E20" s="98"/>
      <c r="F20" s="98"/>
      <c r="G20" s="98"/>
      <c r="H20" s="99"/>
      <c r="I20" s="78"/>
      <c r="J20" s="79"/>
      <c r="K20" s="79"/>
      <c r="L20" s="79"/>
      <c r="M20" s="79"/>
      <c r="N20" s="80"/>
    </row>
    <row r="21" spans="1:14" s="19" customFormat="1" ht="30" customHeight="1" x14ac:dyDescent="0.25">
      <c r="A21" s="89" t="s">
        <v>49</v>
      </c>
      <c r="B21" s="90"/>
      <c r="C21" s="90"/>
      <c r="D21" s="90"/>
      <c r="E21" s="90"/>
      <c r="F21" s="90"/>
      <c r="G21" s="90"/>
      <c r="H21" s="90"/>
      <c r="I21" s="90"/>
      <c r="J21" s="90"/>
      <c r="K21" s="90"/>
      <c r="L21" s="90"/>
      <c r="M21" s="90"/>
      <c r="N21" s="91"/>
    </row>
    <row r="22" spans="1:14" s="19" customFormat="1" ht="45" customHeight="1" x14ac:dyDescent="0.25">
      <c r="A22" s="101" t="s">
        <v>52</v>
      </c>
      <c r="B22" s="100" t="s">
        <v>183</v>
      </c>
      <c r="C22" s="100"/>
      <c r="D22" s="100"/>
      <c r="E22" s="100"/>
      <c r="F22" s="100"/>
      <c r="G22" s="100"/>
      <c r="H22" s="100"/>
      <c r="I22" s="102" t="s">
        <v>181</v>
      </c>
      <c r="J22" s="102"/>
      <c r="K22" s="102"/>
      <c r="L22" s="102"/>
      <c r="M22" s="102"/>
      <c r="N22" s="102"/>
    </row>
    <row r="23" spans="1:14" s="19" customFormat="1" ht="45" customHeight="1" x14ac:dyDescent="0.25">
      <c r="A23" s="101"/>
      <c r="B23" s="100"/>
      <c r="C23" s="100"/>
      <c r="D23" s="100"/>
      <c r="E23" s="100"/>
      <c r="F23" s="100"/>
      <c r="G23" s="100"/>
      <c r="H23" s="100"/>
      <c r="I23" s="102"/>
      <c r="J23" s="102"/>
      <c r="K23" s="102"/>
      <c r="L23" s="102"/>
      <c r="M23" s="102"/>
      <c r="N23" s="102"/>
    </row>
    <row r="24" spans="1:14" s="19" customFormat="1" ht="30" customHeight="1" x14ac:dyDescent="0.2">
      <c r="A24" s="16"/>
      <c r="B24" s="85"/>
      <c r="C24" s="85"/>
      <c r="D24" s="85"/>
      <c r="E24" s="85"/>
      <c r="F24" s="85"/>
      <c r="G24" s="85"/>
      <c r="H24" s="85"/>
      <c r="I24" s="84"/>
      <c r="J24" s="84"/>
      <c r="K24" s="84"/>
      <c r="L24" s="84"/>
      <c r="M24" s="84"/>
      <c r="N24" s="84"/>
    </row>
    <row r="25" spans="1:14" s="19" customFormat="1" ht="30" customHeight="1" x14ac:dyDescent="0.2">
      <c r="A25" s="16"/>
      <c r="B25" s="85"/>
      <c r="C25" s="85"/>
      <c r="D25" s="85"/>
      <c r="E25" s="85"/>
      <c r="F25" s="85"/>
      <c r="G25" s="85"/>
      <c r="H25" s="85"/>
      <c r="I25" s="84"/>
      <c r="J25" s="84"/>
      <c r="K25" s="84"/>
      <c r="L25" s="84"/>
      <c r="M25" s="84"/>
      <c r="N25" s="84"/>
    </row>
    <row r="26" spans="1:14" s="19" customFormat="1" ht="30" customHeight="1" x14ac:dyDescent="0.2">
      <c r="A26" s="16"/>
      <c r="B26" s="85"/>
      <c r="C26" s="85"/>
      <c r="D26" s="85"/>
      <c r="E26" s="85"/>
      <c r="F26" s="85"/>
      <c r="G26" s="85"/>
      <c r="H26" s="85"/>
      <c r="I26" s="84"/>
      <c r="J26" s="84"/>
      <c r="K26" s="84"/>
      <c r="L26" s="84"/>
      <c r="M26" s="84"/>
      <c r="N26" s="84"/>
    </row>
    <row r="27" spans="1:14" s="19" customFormat="1" ht="30" customHeight="1" x14ac:dyDescent="0.2">
      <c r="A27" s="16"/>
      <c r="B27" s="85"/>
      <c r="C27" s="85"/>
      <c r="D27" s="85"/>
      <c r="E27" s="85"/>
      <c r="F27" s="85"/>
      <c r="G27" s="85"/>
      <c r="H27" s="85"/>
      <c r="I27" s="84"/>
      <c r="J27" s="84"/>
      <c r="K27" s="84"/>
      <c r="L27" s="84"/>
      <c r="M27" s="84"/>
      <c r="N27" s="84"/>
    </row>
    <row r="28" spans="1:14" s="19" customFormat="1" ht="30" customHeight="1" x14ac:dyDescent="0.2">
      <c r="A28" s="16"/>
      <c r="B28" s="85"/>
      <c r="C28" s="85"/>
      <c r="D28" s="85"/>
      <c r="E28" s="85"/>
      <c r="F28" s="85"/>
      <c r="G28" s="85"/>
      <c r="H28" s="85"/>
      <c r="I28" s="84"/>
      <c r="J28" s="84"/>
      <c r="K28" s="84"/>
      <c r="L28" s="84"/>
      <c r="M28" s="84"/>
      <c r="N28" s="84"/>
    </row>
    <row r="29" spans="1:14" s="19" customFormat="1" ht="30" customHeight="1" x14ac:dyDescent="0.2">
      <c r="A29" s="16"/>
      <c r="B29" s="85"/>
      <c r="C29" s="85"/>
      <c r="D29" s="85"/>
      <c r="E29" s="85"/>
      <c r="F29" s="85"/>
      <c r="G29" s="85"/>
      <c r="H29" s="85"/>
      <c r="I29" s="84"/>
      <c r="J29" s="84"/>
      <c r="K29" s="84"/>
      <c r="L29" s="84"/>
      <c r="M29" s="84"/>
      <c r="N29" s="84"/>
    </row>
    <row r="30" spans="1:14" s="19" customFormat="1" ht="30" customHeight="1" x14ac:dyDescent="0.2">
      <c r="A30" s="16"/>
      <c r="B30" s="85"/>
      <c r="C30" s="85"/>
      <c r="D30" s="85"/>
      <c r="E30" s="85"/>
      <c r="F30" s="85"/>
      <c r="G30" s="85"/>
      <c r="H30" s="85"/>
      <c r="I30" s="84"/>
      <c r="J30" s="84"/>
      <c r="K30" s="84"/>
      <c r="L30" s="84"/>
      <c r="M30" s="84"/>
      <c r="N30" s="84"/>
    </row>
    <row r="31" spans="1:14" s="19" customFormat="1" ht="30" customHeight="1" x14ac:dyDescent="0.2">
      <c r="A31" s="16"/>
      <c r="B31" s="85"/>
      <c r="C31" s="85"/>
      <c r="D31" s="85"/>
      <c r="E31" s="85"/>
      <c r="F31" s="85"/>
      <c r="G31" s="85"/>
      <c r="H31" s="85"/>
      <c r="I31" s="84"/>
      <c r="J31" s="84"/>
      <c r="K31" s="84"/>
      <c r="L31" s="84"/>
      <c r="M31" s="84"/>
      <c r="N31" s="84"/>
    </row>
    <row r="32" spans="1:14" s="19" customFormat="1" ht="30" customHeight="1" x14ac:dyDescent="0.2">
      <c r="A32" s="16"/>
      <c r="B32" s="46"/>
      <c r="C32" s="46"/>
      <c r="D32" s="46"/>
      <c r="E32" s="46"/>
      <c r="F32" s="46"/>
      <c r="G32" s="46"/>
      <c r="H32" s="46"/>
      <c r="I32" s="2"/>
      <c r="J32" s="2"/>
      <c r="K32" s="2"/>
      <c r="L32" s="2"/>
      <c r="M32" s="2"/>
      <c r="N32" s="2"/>
    </row>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sheetData>
  <mergeCells count="48">
    <mergeCell ref="A14:A15"/>
    <mergeCell ref="B16:H17"/>
    <mergeCell ref="I16:N17"/>
    <mergeCell ref="A16:A17"/>
    <mergeCell ref="B14:H15"/>
    <mergeCell ref="I14:N15"/>
    <mergeCell ref="A5:A6"/>
    <mergeCell ref="I5:N6"/>
    <mergeCell ref="A12:A13"/>
    <mergeCell ref="B12:H13"/>
    <mergeCell ref="I12:N13"/>
    <mergeCell ref="A10:A11"/>
    <mergeCell ref="B10:H11"/>
    <mergeCell ref="I10:N11"/>
    <mergeCell ref="A8:A9"/>
    <mergeCell ref="B8:H9"/>
    <mergeCell ref="I8:N9"/>
    <mergeCell ref="A7:N7"/>
    <mergeCell ref="B5:H6"/>
    <mergeCell ref="I3:N4"/>
    <mergeCell ref="B3:H4"/>
    <mergeCell ref="A3:A4"/>
    <mergeCell ref="B1:N1"/>
    <mergeCell ref="A2:N2"/>
    <mergeCell ref="A18:N18"/>
    <mergeCell ref="B25:H25"/>
    <mergeCell ref="B26:H26"/>
    <mergeCell ref="B27:H27"/>
    <mergeCell ref="B28:H28"/>
    <mergeCell ref="B24:H24"/>
    <mergeCell ref="A21:N21"/>
    <mergeCell ref="I19:N20"/>
    <mergeCell ref="A19:A20"/>
    <mergeCell ref="B19:H20"/>
    <mergeCell ref="B22:H23"/>
    <mergeCell ref="A22:A23"/>
    <mergeCell ref="I22:N23"/>
    <mergeCell ref="I24:N24"/>
    <mergeCell ref="I25:N25"/>
    <mergeCell ref="I26:N26"/>
    <mergeCell ref="I27:N27"/>
    <mergeCell ref="I28:N28"/>
    <mergeCell ref="B29:H29"/>
    <mergeCell ref="B30:H30"/>
    <mergeCell ref="B31:H31"/>
    <mergeCell ref="I29:N29"/>
    <mergeCell ref="I30:N30"/>
    <mergeCell ref="I31:N31"/>
  </mergeCells>
  <pageMargins left="0.7" right="0.7" top="0.75" bottom="0.75" header="0.3" footer="0.3"/>
  <pageSetup paperSize="8" scale="71"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A378-FFEC-4529-8F17-289CA2EBD318}">
  <sheetPr>
    <pageSetUpPr fitToPage="1"/>
  </sheetPr>
  <dimension ref="A1:N85"/>
  <sheetViews>
    <sheetView topLeftCell="A52" zoomScale="110" zoomScaleNormal="110" workbookViewId="0">
      <selection activeCell="I68" sqref="I68:N69"/>
    </sheetView>
  </sheetViews>
  <sheetFormatPr defaultRowHeight="14.25" x14ac:dyDescent="0.2"/>
  <cols>
    <col min="1" max="1" width="9.140625" style="17"/>
    <col min="2" max="8" width="11.7109375" style="2" customWidth="1"/>
    <col min="9" max="12" width="13.7109375" style="2" customWidth="1"/>
    <col min="13" max="13" width="19.28515625" style="2" customWidth="1"/>
    <col min="14" max="14" width="63.7109375" style="2" customWidth="1"/>
    <col min="15" max="16384" width="9.140625" style="2"/>
  </cols>
  <sheetData>
    <row r="1" spans="1:14" ht="72" customHeight="1" x14ac:dyDescent="0.2">
      <c r="A1" s="45" t="s">
        <v>0</v>
      </c>
      <c r="B1" s="132" t="s">
        <v>91</v>
      </c>
      <c r="C1" s="132"/>
      <c r="D1" s="132"/>
      <c r="E1" s="132"/>
      <c r="F1" s="132"/>
      <c r="G1" s="132"/>
      <c r="H1" s="132"/>
      <c r="I1" s="132"/>
      <c r="J1" s="132"/>
      <c r="K1" s="132"/>
      <c r="L1" s="132"/>
      <c r="M1" s="132"/>
      <c r="N1" s="132"/>
    </row>
    <row r="2" spans="1:14" ht="36.75" customHeight="1" x14ac:dyDescent="0.2">
      <c r="A2" s="136" t="s">
        <v>139</v>
      </c>
      <c r="B2" s="136"/>
      <c r="C2" s="136"/>
      <c r="D2" s="136"/>
      <c r="E2" s="136"/>
      <c r="F2" s="136"/>
      <c r="G2" s="136"/>
      <c r="H2" s="136"/>
      <c r="I2" s="136" t="s">
        <v>140</v>
      </c>
      <c r="J2" s="136"/>
      <c r="K2" s="136"/>
      <c r="L2" s="136"/>
      <c r="M2" s="136"/>
      <c r="N2" s="136"/>
    </row>
    <row r="3" spans="1:14" ht="30" customHeight="1" x14ac:dyDescent="0.2">
      <c r="A3" s="112" t="s">
        <v>149</v>
      </c>
      <c r="B3" s="112"/>
      <c r="C3" s="112"/>
      <c r="D3" s="112"/>
      <c r="E3" s="112"/>
      <c r="F3" s="112"/>
      <c r="G3" s="112"/>
      <c r="H3" s="112"/>
      <c r="I3" s="112"/>
      <c r="J3" s="112"/>
      <c r="K3" s="112"/>
      <c r="L3" s="112"/>
      <c r="M3" s="112"/>
      <c r="N3" s="112"/>
    </row>
    <row r="4" spans="1:14" s="19" customFormat="1" ht="45" customHeight="1" x14ac:dyDescent="0.25">
      <c r="A4" s="101" t="s">
        <v>53</v>
      </c>
      <c r="B4" s="107" t="s">
        <v>362</v>
      </c>
      <c r="C4" s="108"/>
      <c r="D4" s="108"/>
      <c r="E4" s="108"/>
      <c r="F4" s="108"/>
      <c r="G4" s="108"/>
      <c r="H4" s="109"/>
      <c r="I4" s="111" t="s">
        <v>355</v>
      </c>
      <c r="J4" s="111"/>
      <c r="K4" s="111"/>
      <c r="L4" s="111"/>
      <c r="M4" s="111"/>
      <c r="N4" s="111"/>
    </row>
    <row r="5" spans="1:14" s="19" customFormat="1" ht="45" customHeight="1" x14ac:dyDescent="0.25">
      <c r="A5" s="101"/>
      <c r="B5" s="110"/>
      <c r="C5" s="108"/>
      <c r="D5" s="108"/>
      <c r="E5" s="108"/>
      <c r="F5" s="108"/>
      <c r="G5" s="108"/>
      <c r="H5" s="109"/>
      <c r="I5" s="111"/>
      <c r="J5" s="111"/>
      <c r="K5" s="111"/>
      <c r="L5" s="111"/>
      <c r="M5" s="111"/>
      <c r="N5" s="111"/>
    </row>
    <row r="6" spans="1:14" s="19" customFormat="1" ht="32.25" customHeight="1" x14ac:dyDescent="0.25">
      <c r="A6" s="101" t="s">
        <v>54</v>
      </c>
      <c r="B6" s="133" t="s">
        <v>334</v>
      </c>
      <c r="C6" s="114"/>
      <c r="D6" s="114"/>
      <c r="E6" s="114"/>
      <c r="F6" s="114"/>
      <c r="G6" s="114"/>
      <c r="H6" s="134"/>
      <c r="I6" s="111" t="s">
        <v>350</v>
      </c>
      <c r="J6" s="111"/>
      <c r="K6" s="111"/>
      <c r="L6" s="111"/>
      <c r="M6" s="111"/>
      <c r="N6" s="111"/>
    </row>
    <row r="7" spans="1:14" s="19" customFormat="1" ht="32.25" customHeight="1" x14ac:dyDescent="0.25">
      <c r="A7" s="101"/>
      <c r="B7" s="135"/>
      <c r="C7" s="114"/>
      <c r="D7" s="114"/>
      <c r="E7" s="114"/>
      <c r="F7" s="114"/>
      <c r="G7" s="114"/>
      <c r="H7" s="134"/>
      <c r="I7" s="111"/>
      <c r="J7" s="111"/>
      <c r="K7" s="111"/>
      <c r="L7" s="111"/>
      <c r="M7" s="111"/>
      <c r="N7" s="111"/>
    </row>
    <row r="8" spans="1:14" s="19" customFormat="1" ht="32.25" customHeight="1" x14ac:dyDescent="0.25">
      <c r="A8" s="101" t="s">
        <v>55</v>
      </c>
      <c r="B8" s="133" t="s">
        <v>349</v>
      </c>
      <c r="C8" s="114"/>
      <c r="D8" s="114"/>
      <c r="E8" s="114"/>
      <c r="F8" s="114"/>
      <c r="G8" s="114"/>
      <c r="H8" s="134"/>
      <c r="I8" s="111" t="s">
        <v>351</v>
      </c>
      <c r="J8" s="111"/>
      <c r="K8" s="111"/>
      <c r="L8" s="111"/>
      <c r="M8" s="111"/>
      <c r="N8" s="111"/>
    </row>
    <row r="9" spans="1:14" s="19" customFormat="1" ht="32.25" customHeight="1" x14ac:dyDescent="0.25">
      <c r="A9" s="101"/>
      <c r="B9" s="135"/>
      <c r="C9" s="114"/>
      <c r="D9" s="114"/>
      <c r="E9" s="114"/>
      <c r="F9" s="114"/>
      <c r="G9" s="114"/>
      <c r="H9" s="134"/>
      <c r="I9" s="111"/>
      <c r="J9" s="111"/>
      <c r="K9" s="111"/>
      <c r="L9" s="111"/>
      <c r="M9" s="111"/>
      <c r="N9" s="111"/>
    </row>
    <row r="10" spans="1:14" s="19" customFormat="1" ht="32.25" customHeight="1" x14ac:dyDescent="0.25">
      <c r="A10" s="101" t="s">
        <v>56</v>
      </c>
      <c r="B10" s="133" t="s">
        <v>348</v>
      </c>
      <c r="C10" s="114"/>
      <c r="D10" s="114"/>
      <c r="E10" s="114"/>
      <c r="F10" s="114"/>
      <c r="G10" s="114"/>
      <c r="H10" s="134"/>
      <c r="I10" s="111" t="s">
        <v>352</v>
      </c>
      <c r="J10" s="111"/>
      <c r="K10" s="111"/>
      <c r="L10" s="111"/>
      <c r="M10" s="111"/>
      <c r="N10" s="111"/>
    </row>
    <row r="11" spans="1:14" s="19" customFormat="1" ht="32.25" customHeight="1" x14ac:dyDescent="0.25">
      <c r="A11" s="101"/>
      <c r="B11" s="135"/>
      <c r="C11" s="114"/>
      <c r="D11" s="114"/>
      <c r="E11" s="114"/>
      <c r="F11" s="114"/>
      <c r="G11" s="114"/>
      <c r="H11" s="134"/>
      <c r="I11" s="111"/>
      <c r="J11" s="111"/>
      <c r="K11" s="111"/>
      <c r="L11" s="111"/>
      <c r="M11" s="111"/>
      <c r="N11" s="111"/>
    </row>
    <row r="12" spans="1:14" s="19" customFormat="1" ht="32.25" customHeight="1" x14ac:dyDescent="0.25">
      <c r="A12" s="101" t="s">
        <v>57</v>
      </c>
      <c r="B12" s="121" t="s">
        <v>335</v>
      </c>
      <c r="C12" s="137"/>
      <c r="D12" s="137"/>
      <c r="E12" s="137"/>
      <c r="F12" s="137"/>
      <c r="G12" s="137"/>
      <c r="H12" s="137"/>
      <c r="I12" s="111" t="s">
        <v>192</v>
      </c>
      <c r="J12" s="111"/>
      <c r="K12" s="111"/>
      <c r="L12" s="111"/>
      <c r="M12" s="111"/>
      <c r="N12" s="111"/>
    </row>
    <row r="13" spans="1:14" s="19" customFormat="1" ht="32.25" customHeight="1" x14ac:dyDescent="0.25">
      <c r="A13" s="101"/>
      <c r="B13" s="138"/>
      <c r="C13" s="139"/>
      <c r="D13" s="139"/>
      <c r="E13" s="139"/>
      <c r="F13" s="139"/>
      <c r="G13" s="139"/>
      <c r="H13" s="139"/>
      <c r="I13" s="111"/>
      <c r="J13" s="111"/>
      <c r="K13" s="111"/>
      <c r="L13" s="111"/>
      <c r="M13" s="111"/>
      <c r="N13" s="111"/>
    </row>
    <row r="14" spans="1:14" s="19" customFormat="1" ht="32.25" customHeight="1" x14ac:dyDescent="0.25">
      <c r="A14" s="101" t="s">
        <v>58</v>
      </c>
      <c r="B14" s="121" t="s">
        <v>157</v>
      </c>
      <c r="C14" s="137"/>
      <c r="D14" s="137"/>
      <c r="E14" s="137"/>
      <c r="F14" s="137"/>
      <c r="G14" s="137"/>
      <c r="H14" s="140"/>
      <c r="I14" s="102" t="s">
        <v>193</v>
      </c>
      <c r="J14" s="102"/>
      <c r="K14" s="102"/>
      <c r="L14" s="102"/>
      <c r="M14" s="102"/>
      <c r="N14" s="102"/>
    </row>
    <row r="15" spans="1:14" s="19" customFormat="1" ht="32.25" customHeight="1" x14ac:dyDescent="0.25">
      <c r="A15" s="101"/>
      <c r="B15" s="138"/>
      <c r="C15" s="139"/>
      <c r="D15" s="139"/>
      <c r="E15" s="139"/>
      <c r="F15" s="139"/>
      <c r="G15" s="139"/>
      <c r="H15" s="141"/>
      <c r="I15" s="102"/>
      <c r="J15" s="102"/>
      <c r="K15" s="102"/>
      <c r="L15" s="102"/>
      <c r="M15" s="102"/>
      <c r="N15" s="102"/>
    </row>
    <row r="16" spans="1:14" s="19" customFormat="1" ht="32.25" customHeight="1" x14ac:dyDescent="0.25">
      <c r="A16" s="101" t="s">
        <v>59</v>
      </c>
      <c r="B16" s="115" t="s">
        <v>147</v>
      </c>
      <c r="C16" s="116"/>
      <c r="D16" s="116"/>
      <c r="E16" s="116"/>
      <c r="F16" s="116"/>
      <c r="G16" s="116"/>
      <c r="H16" s="117"/>
      <c r="I16" s="72" t="s">
        <v>194</v>
      </c>
      <c r="J16" s="73"/>
      <c r="K16" s="73"/>
      <c r="L16" s="73"/>
      <c r="M16" s="73"/>
      <c r="N16" s="74"/>
    </row>
    <row r="17" spans="1:14" s="19" customFormat="1" ht="32.25" customHeight="1" x14ac:dyDescent="0.25">
      <c r="A17" s="101"/>
      <c r="B17" s="118"/>
      <c r="C17" s="119"/>
      <c r="D17" s="119"/>
      <c r="E17" s="119"/>
      <c r="F17" s="119"/>
      <c r="G17" s="119"/>
      <c r="H17" s="120"/>
      <c r="I17" s="78"/>
      <c r="J17" s="79"/>
      <c r="K17" s="79"/>
      <c r="L17" s="79"/>
      <c r="M17" s="79"/>
      <c r="N17" s="80"/>
    </row>
    <row r="18" spans="1:14" s="19" customFormat="1" ht="53.25" customHeight="1" x14ac:dyDescent="0.25">
      <c r="A18" s="101" t="s">
        <v>60</v>
      </c>
      <c r="B18" s="121" t="s">
        <v>148</v>
      </c>
      <c r="C18" s="122"/>
      <c r="D18" s="122"/>
      <c r="E18" s="122"/>
      <c r="F18" s="122"/>
      <c r="G18" s="122"/>
      <c r="H18" s="123"/>
      <c r="I18" s="72" t="s">
        <v>195</v>
      </c>
      <c r="J18" s="64"/>
      <c r="K18" s="64"/>
      <c r="L18" s="64"/>
      <c r="M18" s="64"/>
      <c r="N18" s="65"/>
    </row>
    <row r="19" spans="1:14" s="19" customFormat="1" ht="53.25" customHeight="1" x14ac:dyDescent="0.25">
      <c r="A19" s="101"/>
      <c r="B19" s="118"/>
      <c r="C19" s="119"/>
      <c r="D19" s="119"/>
      <c r="E19" s="119"/>
      <c r="F19" s="119"/>
      <c r="G19" s="119"/>
      <c r="H19" s="120"/>
      <c r="I19" s="124"/>
      <c r="J19" s="125"/>
      <c r="K19" s="125"/>
      <c r="L19" s="125"/>
      <c r="M19" s="125"/>
      <c r="N19" s="126"/>
    </row>
    <row r="20" spans="1:14" s="19" customFormat="1" ht="32.25" customHeight="1" x14ac:dyDescent="0.25">
      <c r="A20" s="101" t="s">
        <v>280</v>
      </c>
      <c r="B20" s="113" t="s">
        <v>155</v>
      </c>
      <c r="C20" s="114"/>
      <c r="D20" s="114"/>
      <c r="E20" s="114"/>
      <c r="F20" s="114"/>
      <c r="G20" s="114"/>
      <c r="H20" s="114"/>
      <c r="I20" s="111" t="s">
        <v>196</v>
      </c>
      <c r="J20" s="111"/>
      <c r="K20" s="111"/>
      <c r="L20" s="111"/>
      <c r="M20" s="111"/>
      <c r="N20" s="111"/>
    </row>
    <row r="21" spans="1:14" s="19" customFormat="1" ht="32.25" customHeight="1" x14ac:dyDescent="0.25">
      <c r="A21" s="101"/>
      <c r="B21" s="114"/>
      <c r="C21" s="114"/>
      <c r="D21" s="114"/>
      <c r="E21" s="114"/>
      <c r="F21" s="114"/>
      <c r="G21" s="114"/>
      <c r="H21" s="114"/>
      <c r="I21" s="111"/>
      <c r="J21" s="111"/>
      <c r="K21" s="111"/>
      <c r="L21" s="111"/>
      <c r="M21" s="111"/>
      <c r="N21" s="111"/>
    </row>
    <row r="22" spans="1:14" s="19" customFormat="1" ht="32.25" customHeight="1" x14ac:dyDescent="0.25">
      <c r="A22" s="101" t="s">
        <v>281</v>
      </c>
      <c r="B22" s="129" t="s">
        <v>156</v>
      </c>
      <c r="C22" s="130"/>
      <c r="D22" s="130"/>
      <c r="E22" s="130"/>
      <c r="F22" s="130"/>
      <c r="G22" s="130"/>
      <c r="H22" s="130"/>
      <c r="I22" s="111" t="s">
        <v>197</v>
      </c>
      <c r="J22" s="111"/>
      <c r="K22" s="111"/>
      <c r="L22" s="111"/>
      <c r="M22" s="111"/>
      <c r="N22" s="111"/>
    </row>
    <row r="23" spans="1:14" s="19" customFormat="1" ht="32.25" customHeight="1" x14ac:dyDescent="0.25">
      <c r="A23" s="101"/>
      <c r="B23" s="122"/>
      <c r="C23" s="122"/>
      <c r="D23" s="122"/>
      <c r="E23" s="122"/>
      <c r="F23" s="122"/>
      <c r="G23" s="122"/>
      <c r="H23" s="122"/>
      <c r="I23" s="111"/>
      <c r="J23" s="111"/>
      <c r="K23" s="111"/>
      <c r="L23" s="111"/>
      <c r="M23" s="111"/>
      <c r="N23" s="111"/>
    </row>
    <row r="24" spans="1:14" s="19" customFormat="1" ht="32.25" customHeight="1" x14ac:dyDescent="0.25">
      <c r="A24" s="112" t="s">
        <v>153</v>
      </c>
      <c r="B24" s="112"/>
      <c r="C24" s="112"/>
      <c r="D24" s="112"/>
      <c r="E24" s="112"/>
      <c r="F24" s="112"/>
      <c r="G24" s="112"/>
      <c r="H24" s="112"/>
      <c r="I24" s="112"/>
      <c r="J24" s="112"/>
      <c r="K24" s="112"/>
      <c r="L24" s="112"/>
      <c r="M24" s="112"/>
      <c r="N24" s="112"/>
    </row>
    <row r="25" spans="1:14" s="19" customFormat="1" ht="32.25" customHeight="1" x14ac:dyDescent="0.25">
      <c r="A25" s="101" t="s">
        <v>282</v>
      </c>
      <c r="B25" s="107" t="s">
        <v>336</v>
      </c>
      <c r="C25" s="108"/>
      <c r="D25" s="108"/>
      <c r="E25" s="108"/>
      <c r="F25" s="108"/>
      <c r="G25" s="108"/>
      <c r="H25" s="109"/>
      <c r="I25" s="111" t="s">
        <v>198</v>
      </c>
      <c r="J25" s="111"/>
      <c r="K25" s="111"/>
      <c r="L25" s="111"/>
      <c r="M25" s="111"/>
      <c r="N25" s="111"/>
    </row>
    <row r="26" spans="1:14" s="19" customFormat="1" ht="32.25" customHeight="1" x14ac:dyDescent="0.25">
      <c r="A26" s="101"/>
      <c r="B26" s="110"/>
      <c r="C26" s="108"/>
      <c r="D26" s="108"/>
      <c r="E26" s="108"/>
      <c r="F26" s="108"/>
      <c r="G26" s="108"/>
      <c r="H26" s="109"/>
      <c r="I26" s="111"/>
      <c r="J26" s="111"/>
      <c r="K26" s="111"/>
      <c r="L26" s="111"/>
      <c r="M26" s="111"/>
      <c r="N26" s="111"/>
    </row>
    <row r="27" spans="1:14" s="19" customFormat="1" ht="32.25" customHeight="1" x14ac:dyDescent="0.25">
      <c r="A27" s="101" t="s">
        <v>283</v>
      </c>
      <c r="B27" s="113" t="s">
        <v>335</v>
      </c>
      <c r="C27" s="114"/>
      <c r="D27" s="114"/>
      <c r="E27" s="114"/>
      <c r="F27" s="114"/>
      <c r="G27" s="114"/>
      <c r="H27" s="114"/>
      <c r="I27" s="111" t="s">
        <v>199</v>
      </c>
      <c r="J27" s="111"/>
      <c r="K27" s="111"/>
      <c r="L27" s="111"/>
      <c r="M27" s="111"/>
      <c r="N27" s="111"/>
    </row>
    <row r="28" spans="1:14" s="19" customFormat="1" ht="32.25" customHeight="1" x14ac:dyDescent="0.25">
      <c r="A28" s="101"/>
      <c r="B28" s="114"/>
      <c r="C28" s="114"/>
      <c r="D28" s="114"/>
      <c r="E28" s="114"/>
      <c r="F28" s="114"/>
      <c r="G28" s="114"/>
      <c r="H28" s="114"/>
      <c r="I28" s="111"/>
      <c r="J28" s="111"/>
      <c r="K28" s="111"/>
      <c r="L28" s="111"/>
      <c r="M28" s="111"/>
      <c r="N28" s="111"/>
    </row>
    <row r="29" spans="1:14" s="19" customFormat="1" ht="32.25" customHeight="1" x14ac:dyDescent="0.25">
      <c r="A29" s="101" t="s">
        <v>284</v>
      </c>
      <c r="B29" s="113" t="s">
        <v>157</v>
      </c>
      <c r="C29" s="113"/>
      <c r="D29" s="113"/>
      <c r="E29" s="113"/>
      <c r="F29" s="113"/>
      <c r="G29" s="113"/>
      <c r="H29" s="113"/>
      <c r="I29" s="111" t="s">
        <v>337</v>
      </c>
      <c r="J29" s="111"/>
      <c r="K29" s="111"/>
      <c r="L29" s="111"/>
      <c r="M29" s="111"/>
      <c r="N29" s="111"/>
    </row>
    <row r="30" spans="1:14" s="19" customFormat="1" ht="32.25" customHeight="1" x14ac:dyDescent="0.25">
      <c r="A30" s="101"/>
      <c r="B30" s="113"/>
      <c r="C30" s="113"/>
      <c r="D30" s="113"/>
      <c r="E30" s="113"/>
      <c r="F30" s="113"/>
      <c r="G30" s="113"/>
      <c r="H30" s="113"/>
      <c r="I30" s="111"/>
      <c r="J30" s="111"/>
      <c r="K30" s="111"/>
      <c r="L30" s="111"/>
      <c r="M30" s="111"/>
      <c r="N30" s="111"/>
    </row>
    <row r="31" spans="1:14" s="19" customFormat="1" ht="32.25" customHeight="1" x14ac:dyDescent="0.25">
      <c r="A31" s="101" t="s">
        <v>285</v>
      </c>
      <c r="B31" s="113" t="s">
        <v>148</v>
      </c>
      <c r="C31" s="114"/>
      <c r="D31" s="114"/>
      <c r="E31" s="114"/>
      <c r="F31" s="114"/>
      <c r="G31" s="114"/>
      <c r="H31" s="114"/>
      <c r="I31" s="111" t="s">
        <v>200</v>
      </c>
      <c r="J31" s="111"/>
      <c r="K31" s="111"/>
      <c r="L31" s="111"/>
      <c r="M31" s="111"/>
      <c r="N31" s="111"/>
    </row>
    <row r="32" spans="1:14" s="19" customFormat="1" ht="32.25" customHeight="1" x14ac:dyDescent="0.25">
      <c r="A32" s="101"/>
      <c r="B32" s="114"/>
      <c r="C32" s="114"/>
      <c r="D32" s="114"/>
      <c r="E32" s="114"/>
      <c r="F32" s="114"/>
      <c r="G32" s="114"/>
      <c r="H32" s="114"/>
      <c r="I32" s="111"/>
      <c r="J32" s="111"/>
      <c r="K32" s="111"/>
      <c r="L32" s="111"/>
      <c r="M32" s="111"/>
      <c r="N32" s="111"/>
    </row>
    <row r="33" spans="1:14" s="19" customFormat="1" ht="32.25" customHeight="1" x14ac:dyDescent="0.25">
      <c r="A33" s="101" t="s">
        <v>286</v>
      </c>
      <c r="B33" s="113" t="s">
        <v>155</v>
      </c>
      <c r="C33" s="114"/>
      <c r="D33" s="114"/>
      <c r="E33" s="114"/>
      <c r="F33" s="114"/>
      <c r="G33" s="114"/>
      <c r="H33" s="114"/>
      <c r="I33" s="111" t="s">
        <v>159</v>
      </c>
      <c r="J33" s="111"/>
      <c r="K33" s="111"/>
      <c r="L33" s="111"/>
      <c r="M33" s="111"/>
      <c r="N33" s="111"/>
    </row>
    <row r="34" spans="1:14" s="19" customFormat="1" ht="32.25" customHeight="1" x14ac:dyDescent="0.25">
      <c r="A34" s="101"/>
      <c r="B34" s="114"/>
      <c r="C34" s="114"/>
      <c r="D34" s="114"/>
      <c r="E34" s="114"/>
      <c r="F34" s="114"/>
      <c r="G34" s="114"/>
      <c r="H34" s="114"/>
      <c r="I34" s="111"/>
      <c r="J34" s="111"/>
      <c r="K34" s="111"/>
      <c r="L34" s="111"/>
      <c r="M34" s="111"/>
      <c r="N34" s="111"/>
    </row>
    <row r="35" spans="1:14" s="19" customFormat="1" ht="32.25" customHeight="1" x14ac:dyDescent="0.25">
      <c r="A35" s="112" t="s">
        <v>154</v>
      </c>
      <c r="B35" s="112"/>
      <c r="C35" s="112"/>
      <c r="D35" s="112"/>
      <c r="E35" s="112"/>
      <c r="F35" s="112"/>
      <c r="G35" s="112"/>
      <c r="H35" s="112"/>
      <c r="I35" s="112"/>
      <c r="J35" s="112"/>
      <c r="K35" s="112"/>
      <c r="L35" s="112"/>
      <c r="M35" s="112"/>
      <c r="N35" s="112"/>
    </row>
    <row r="36" spans="1:14" s="19" customFormat="1" ht="32.25" customHeight="1" x14ac:dyDescent="0.25">
      <c r="A36" s="101" t="s">
        <v>287</v>
      </c>
      <c r="B36" s="113" t="s">
        <v>158</v>
      </c>
      <c r="C36" s="114"/>
      <c r="D36" s="114"/>
      <c r="E36" s="114"/>
      <c r="F36" s="114"/>
      <c r="G36" s="114"/>
      <c r="H36" s="114"/>
      <c r="I36" s="111" t="s">
        <v>162</v>
      </c>
      <c r="J36" s="111"/>
      <c r="K36" s="111"/>
      <c r="L36" s="111"/>
      <c r="M36" s="111"/>
      <c r="N36" s="111"/>
    </row>
    <row r="37" spans="1:14" s="19" customFormat="1" ht="32.25" customHeight="1" x14ac:dyDescent="0.25">
      <c r="A37" s="101"/>
      <c r="B37" s="114"/>
      <c r="C37" s="114"/>
      <c r="D37" s="114"/>
      <c r="E37" s="114"/>
      <c r="F37" s="114"/>
      <c r="G37" s="114"/>
      <c r="H37" s="114"/>
      <c r="I37" s="111"/>
      <c r="J37" s="111"/>
      <c r="K37" s="111"/>
      <c r="L37" s="111"/>
      <c r="M37" s="111"/>
      <c r="N37" s="111"/>
    </row>
    <row r="38" spans="1:14" s="19" customFormat="1" ht="32.25" customHeight="1" x14ac:dyDescent="0.25">
      <c r="A38" s="101" t="s">
        <v>288</v>
      </c>
      <c r="B38" s="113" t="s">
        <v>157</v>
      </c>
      <c r="C38" s="113"/>
      <c r="D38" s="113"/>
      <c r="E38" s="113"/>
      <c r="F38" s="113"/>
      <c r="G38" s="113"/>
      <c r="H38" s="113"/>
      <c r="I38" s="111" t="s">
        <v>163</v>
      </c>
      <c r="J38" s="111"/>
      <c r="K38" s="111"/>
      <c r="L38" s="111"/>
      <c r="M38" s="111"/>
      <c r="N38" s="111"/>
    </row>
    <row r="39" spans="1:14" s="19" customFormat="1" ht="32.25" customHeight="1" x14ac:dyDescent="0.25">
      <c r="A39" s="101"/>
      <c r="B39" s="113"/>
      <c r="C39" s="113"/>
      <c r="D39" s="113"/>
      <c r="E39" s="113"/>
      <c r="F39" s="113"/>
      <c r="G39" s="113"/>
      <c r="H39" s="113"/>
      <c r="I39" s="111"/>
      <c r="J39" s="111"/>
      <c r="K39" s="111"/>
      <c r="L39" s="111"/>
      <c r="M39" s="111"/>
      <c r="N39" s="111"/>
    </row>
    <row r="40" spans="1:14" s="19" customFormat="1" ht="32.25" customHeight="1" x14ac:dyDescent="0.25">
      <c r="A40" s="101" t="s">
        <v>289</v>
      </c>
      <c r="B40" s="113" t="s">
        <v>148</v>
      </c>
      <c r="C40" s="114"/>
      <c r="D40" s="114"/>
      <c r="E40" s="114"/>
      <c r="F40" s="114"/>
      <c r="G40" s="114"/>
      <c r="H40" s="114"/>
      <c r="I40" s="111" t="s">
        <v>164</v>
      </c>
      <c r="J40" s="111"/>
      <c r="K40" s="111"/>
      <c r="L40" s="111"/>
      <c r="M40" s="111"/>
      <c r="N40" s="111"/>
    </row>
    <row r="41" spans="1:14" s="19" customFormat="1" ht="32.25" customHeight="1" x14ac:dyDescent="0.25">
      <c r="A41" s="101"/>
      <c r="B41" s="114"/>
      <c r="C41" s="114"/>
      <c r="D41" s="114"/>
      <c r="E41" s="114"/>
      <c r="F41" s="114"/>
      <c r="G41" s="114"/>
      <c r="H41" s="114"/>
      <c r="I41" s="111"/>
      <c r="J41" s="111"/>
      <c r="K41" s="111"/>
      <c r="L41" s="111"/>
      <c r="M41" s="111"/>
      <c r="N41" s="111"/>
    </row>
    <row r="42" spans="1:14" s="19" customFormat="1" ht="32.25" customHeight="1" x14ac:dyDescent="0.25">
      <c r="A42" s="101" t="s">
        <v>290</v>
      </c>
      <c r="B42" s="113" t="s">
        <v>155</v>
      </c>
      <c r="C42" s="114"/>
      <c r="D42" s="114"/>
      <c r="E42" s="114"/>
      <c r="F42" s="114"/>
      <c r="G42" s="114"/>
      <c r="H42" s="114"/>
      <c r="I42" s="111" t="s">
        <v>161</v>
      </c>
      <c r="J42" s="111"/>
      <c r="K42" s="111"/>
      <c r="L42" s="111"/>
      <c r="M42" s="111"/>
      <c r="N42" s="111"/>
    </row>
    <row r="43" spans="1:14" s="19" customFormat="1" ht="32.25" customHeight="1" x14ac:dyDescent="0.25">
      <c r="A43" s="101"/>
      <c r="B43" s="114"/>
      <c r="C43" s="114"/>
      <c r="D43" s="114"/>
      <c r="E43" s="114"/>
      <c r="F43" s="114"/>
      <c r="G43" s="114"/>
      <c r="H43" s="114"/>
      <c r="I43" s="111"/>
      <c r="J43" s="111"/>
      <c r="K43" s="111"/>
      <c r="L43" s="111"/>
      <c r="M43" s="111"/>
      <c r="N43" s="111"/>
    </row>
    <row r="44" spans="1:14" s="19" customFormat="1" ht="32.25" customHeight="1" x14ac:dyDescent="0.25">
      <c r="A44" s="86" t="s">
        <v>160</v>
      </c>
      <c r="B44" s="87"/>
      <c r="C44" s="87"/>
      <c r="D44" s="87"/>
      <c r="E44" s="87"/>
      <c r="F44" s="87"/>
      <c r="G44" s="87"/>
      <c r="H44" s="87"/>
      <c r="I44" s="127"/>
      <c r="J44" s="127"/>
      <c r="K44" s="127"/>
      <c r="L44" s="127"/>
      <c r="M44" s="127"/>
      <c r="N44" s="128"/>
    </row>
    <row r="45" spans="1:14" s="19" customFormat="1" ht="32.25" customHeight="1" x14ac:dyDescent="0.25">
      <c r="A45" s="101" t="s">
        <v>291</v>
      </c>
      <c r="B45" s="113" t="s">
        <v>378</v>
      </c>
      <c r="C45" s="114"/>
      <c r="D45" s="114"/>
      <c r="E45" s="114"/>
      <c r="F45" s="114"/>
      <c r="G45" s="114"/>
      <c r="H45" s="114"/>
      <c r="I45" s="111" t="s">
        <v>173</v>
      </c>
      <c r="J45" s="111"/>
      <c r="K45" s="111"/>
      <c r="L45" s="111"/>
      <c r="M45" s="111"/>
      <c r="N45" s="111"/>
    </row>
    <row r="46" spans="1:14" s="19" customFormat="1" ht="32.25" customHeight="1" x14ac:dyDescent="0.25">
      <c r="A46" s="101"/>
      <c r="B46" s="114"/>
      <c r="C46" s="114"/>
      <c r="D46" s="114"/>
      <c r="E46" s="114"/>
      <c r="F46" s="114"/>
      <c r="G46" s="114"/>
      <c r="H46" s="114"/>
      <c r="I46" s="111"/>
      <c r="J46" s="111"/>
      <c r="K46" s="111"/>
      <c r="L46" s="111"/>
      <c r="M46" s="111"/>
      <c r="N46" s="111"/>
    </row>
    <row r="47" spans="1:14" s="19" customFormat="1" ht="32.25" customHeight="1" x14ac:dyDescent="0.25">
      <c r="A47" s="101" t="s">
        <v>292</v>
      </c>
      <c r="B47" s="100" t="s">
        <v>379</v>
      </c>
      <c r="C47" s="131"/>
      <c r="D47" s="131"/>
      <c r="E47" s="131"/>
      <c r="F47" s="131"/>
      <c r="G47" s="131"/>
      <c r="H47" s="131"/>
      <c r="I47" s="111" t="s">
        <v>321</v>
      </c>
      <c r="J47" s="111"/>
      <c r="K47" s="111"/>
      <c r="L47" s="111"/>
      <c r="M47" s="111"/>
      <c r="N47" s="111"/>
    </row>
    <row r="48" spans="1:14" s="19" customFormat="1" ht="32.25" customHeight="1" x14ac:dyDescent="0.25">
      <c r="A48" s="101"/>
      <c r="B48" s="131"/>
      <c r="C48" s="131"/>
      <c r="D48" s="131"/>
      <c r="E48" s="131"/>
      <c r="F48" s="131"/>
      <c r="G48" s="131"/>
      <c r="H48" s="131"/>
      <c r="I48" s="111"/>
      <c r="J48" s="111"/>
      <c r="K48" s="111"/>
      <c r="L48" s="111"/>
      <c r="M48" s="111"/>
      <c r="N48" s="111"/>
    </row>
    <row r="49" spans="1:14" s="19" customFormat="1" ht="32.25" customHeight="1" x14ac:dyDescent="0.25">
      <c r="A49" s="86" t="s">
        <v>150</v>
      </c>
      <c r="B49" s="87"/>
      <c r="C49" s="87"/>
      <c r="D49" s="87"/>
      <c r="E49" s="87"/>
      <c r="F49" s="87"/>
      <c r="G49" s="87"/>
      <c r="H49" s="87"/>
      <c r="I49" s="127"/>
      <c r="J49" s="127"/>
      <c r="K49" s="127"/>
      <c r="L49" s="127"/>
      <c r="M49" s="127"/>
      <c r="N49" s="128"/>
    </row>
    <row r="50" spans="1:14" s="19" customFormat="1" ht="32.25" customHeight="1" x14ac:dyDescent="0.25">
      <c r="A50" s="92" t="s">
        <v>293</v>
      </c>
      <c r="B50" s="115" t="s">
        <v>338</v>
      </c>
      <c r="C50" s="116"/>
      <c r="D50" s="116"/>
      <c r="E50" s="116"/>
      <c r="F50" s="116"/>
      <c r="G50" s="116"/>
      <c r="H50" s="117"/>
      <c r="I50" s="72" t="s">
        <v>165</v>
      </c>
      <c r="J50" s="73"/>
      <c r="K50" s="73"/>
      <c r="L50" s="73"/>
      <c r="M50" s="73"/>
      <c r="N50" s="74"/>
    </row>
    <row r="51" spans="1:14" s="19" customFormat="1" ht="32.25" customHeight="1" x14ac:dyDescent="0.25">
      <c r="A51" s="93"/>
      <c r="B51" s="118"/>
      <c r="C51" s="119"/>
      <c r="D51" s="119"/>
      <c r="E51" s="119"/>
      <c r="F51" s="119"/>
      <c r="G51" s="119"/>
      <c r="H51" s="120"/>
      <c r="I51" s="78"/>
      <c r="J51" s="79"/>
      <c r="K51" s="79"/>
      <c r="L51" s="79"/>
      <c r="M51" s="79"/>
      <c r="N51" s="80"/>
    </row>
    <row r="52" spans="1:14" s="19" customFormat="1" ht="32.25" customHeight="1" x14ac:dyDescent="0.25">
      <c r="A52" s="92" t="s">
        <v>294</v>
      </c>
      <c r="B52" s="115" t="s">
        <v>339</v>
      </c>
      <c r="C52" s="116"/>
      <c r="D52" s="116"/>
      <c r="E52" s="116"/>
      <c r="F52" s="116"/>
      <c r="G52" s="116"/>
      <c r="H52" s="117"/>
      <c r="I52" s="72" t="s">
        <v>166</v>
      </c>
      <c r="J52" s="73"/>
      <c r="K52" s="73"/>
      <c r="L52" s="73"/>
      <c r="M52" s="73"/>
      <c r="N52" s="74"/>
    </row>
    <row r="53" spans="1:14" s="19" customFormat="1" ht="32.25" customHeight="1" x14ac:dyDescent="0.25">
      <c r="A53" s="93"/>
      <c r="B53" s="118"/>
      <c r="C53" s="119"/>
      <c r="D53" s="119"/>
      <c r="E53" s="119"/>
      <c r="F53" s="119"/>
      <c r="G53" s="119"/>
      <c r="H53" s="120"/>
      <c r="I53" s="78"/>
      <c r="J53" s="79"/>
      <c r="K53" s="79"/>
      <c r="L53" s="79"/>
      <c r="M53" s="79"/>
      <c r="N53" s="80"/>
    </row>
    <row r="54" spans="1:14" s="19" customFormat="1" ht="32.25" customHeight="1" x14ac:dyDescent="0.25">
      <c r="A54" s="92" t="s">
        <v>295</v>
      </c>
      <c r="B54" s="115" t="s">
        <v>340</v>
      </c>
      <c r="C54" s="116"/>
      <c r="D54" s="116"/>
      <c r="E54" s="116"/>
      <c r="F54" s="116"/>
      <c r="G54" s="116"/>
      <c r="H54" s="117"/>
      <c r="I54" s="72" t="s">
        <v>190</v>
      </c>
      <c r="J54" s="73"/>
      <c r="K54" s="73"/>
      <c r="L54" s="73"/>
      <c r="M54" s="73"/>
      <c r="N54" s="74"/>
    </row>
    <row r="55" spans="1:14" s="19" customFormat="1" ht="32.25" customHeight="1" x14ac:dyDescent="0.25">
      <c r="A55" s="93"/>
      <c r="B55" s="118"/>
      <c r="C55" s="119"/>
      <c r="D55" s="119"/>
      <c r="E55" s="119"/>
      <c r="F55" s="119"/>
      <c r="G55" s="119"/>
      <c r="H55" s="120"/>
      <c r="I55" s="78"/>
      <c r="J55" s="79"/>
      <c r="K55" s="79"/>
      <c r="L55" s="79"/>
      <c r="M55" s="79"/>
      <c r="N55" s="80"/>
    </row>
    <row r="56" spans="1:14" s="19" customFormat="1" ht="32.25" customHeight="1" x14ac:dyDescent="0.25">
      <c r="A56" s="92" t="s">
        <v>296</v>
      </c>
      <c r="B56" s="115" t="s">
        <v>341</v>
      </c>
      <c r="C56" s="116"/>
      <c r="D56" s="116"/>
      <c r="E56" s="116"/>
      <c r="F56" s="116"/>
      <c r="G56" s="116"/>
      <c r="H56" s="117"/>
      <c r="I56" s="72" t="s">
        <v>170</v>
      </c>
      <c r="J56" s="73"/>
      <c r="K56" s="73"/>
      <c r="L56" s="73"/>
      <c r="M56" s="73"/>
      <c r="N56" s="74"/>
    </row>
    <row r="57" spans="1:14" s="19" customFormat="1" ht="30" customHeight="1" x14ac:dyDescent="0.25">
      <c r="A57" s="93"/>
      <c r="B57" s="118"/>
      <c r="C57" s="119"/>
      <c r="D57" s="119"/>
      <c r="E57" s="119"/>
      <c r="F57" s="119"/>
      <c r="G57" s="119"/>
      <c r="H57" s="120"/>
      <c r="I57" s="78"/>
      <c r="J57" s="79"/>
      <c r="K57" s="79"/>
      <c r="L57" s="79"/>
      <c r="M57" s="79"/>
      <c r="N57" s="80"/>
    </row>
    <row r="58" spans="1:14" s="19" customFormat="1" ht="30" customHeight="1" x14ac:dyDescent="0.25">
      <c r="A58" s="92" t="s">
        <v>297</v>
      </c>
      <c r="B58" s="115" t="s">
        <v>342</v>
      </c>
      <c r="C58" s="116"/>
      <c r="D58" s="116"/>
      <c r="E58" s="116"/>
      <c r="F58" s="116"/>
      <c r="G58" s="116"/>
      <c r="H58" s="117"/>
      <c r="I58" s="72" t="s">
        <v>168</v>
      </c>
      <c r="J58" s="73"/>
      <c r="K58" s="73"/>
      <c r="L58" s="73"/>
      <c r="M58" s="73"/>
      <c r="N58" s="74"/>
    </row>
    <row r="59" spans="1:14" s="19" customFormat="1" ht="30" customHeight="1" x14ac:dyDescent="0.25">
      <c r="A59" s="93"/>
      <c r="B59" s="118"/>
      <c r="C59" s="119"/>
      <c r="D59" s="119"/>
      <c r="E59" s="119"/>
      <c r="F59" s="119"/>
      <c r="G59" s="119"/>
      <c r="H59" s="120"/>
      <c r="I59" s="78"/>
      <c r="J59" s="79"/>
      <c r="K59" s="79"/>
      <c r="L59" s="79"/>
      <c r="M59" s="79"/>
      <c r="N59" s="80"/>
    </row>
    <row r="60" spans="1:14" s="19" customFormat="1" ht="30" customHeight="1" x14ac:dyDescent="0.25">
      <c r="A60" s="92" t="s">
        <v>298</v>
      </c>
      <c r="B60" s="115" t="s">
        <v>343</v>
      </c>
      <c r="C60" s="116"/>
      <c r="D60" s="116"/>
      <c r="E60" s="116"/>
      <c r="F60" s="116"/>
      <c r="G60" s="116"/>
      <c r="H60" s="117"/>
      <c r="I60" s="72" t="s">
        <v>189</v>
      </c>
      <c r="J60" s="73"/>
      <c r="K60" s="73"/>
      <c r="L60" s="73"/>
      <c r="M60" s="73"/>
      <c r="N60" s="74"/>
    </row>
    <row r="61" spans="1:14" s="19" customFormat="1" ht="30" customHeight="1" x14ac:dyDescent="0.25">
      <c r="A61" s="93"/>
      <c r="B61" s="118"/>
      <c r="C61" s="119"/>
      <c r="D61" s="119"/>
      <c r="E61" s="119"/>
      <c r="F61" s="119"/>
      <c r="G61" s="119"/>
      <c r="H61" s="120"/>
      <c r="I61" s="78"/>
      <c r="J61" s="79"/>
      <c r="K61" s="79"/>
      <c r="L61" s="79"/>
      <c r="M61" s="79"/>
      <c r="N61" s="80"/>
    </row>
    <row r="62" spans="1:14" s="19" customFormat="1" ht="30" customHeight="1" x14ac:dyDescent="0.25">
      <c r="A62" s="92" t="s">
        <v>322</v>
      </c>
      <c r="B62" s="115" t="s">
        <v>344</v>
      </c>
      <c r="C62" s="116"/>
      <c r="D62" s="116"/>
      <c r="E62" s="116"/>
      <c r="F62" s="116"/>
      <c r="G62" s="116"/>
      <c r="H62" s="117"/>
      <c r="I62" s="72" t="s">
        <v>169</v>
      </c>
      <c r="J62" s="73"/>
      <c r="K62" s="73"/>
      <c r="L62" s="73"/>
      <c r="M62" s="73"/>
      <c r="N62" s="74"/>
    </row>
    <row r="63" spans="1:14" s="19" customFormat="1" ht="30" customHeight="1" x14ac:dyDescent="0.25">
      <c r="A63" s="93"/>
      <c r="B63" s="118"/>
      <c r="C63" s="119"/>
      <c r="D63" s="119"/>
      <c r="E63" s="119"/>
      <c r="F63" s="119"/>
      <c r="G63" s="119"/>
      <c r="H63" s="120"/>
      <c r="I63" s="78"/>
      <c r="J63" s="79"/>
      <c r="K63" s="79"/>
      <c r="L63" s="79"/>
      <c r="M63" s="79"/>
      <c r="N63" s="80"/>
    </row>
    <row r="64" spans="1:14" s="19" customFormat="1" ht="30" customHeight="1" x14ac:dyDescent="0.25">
      <c r="A64" s="86" t="s">
        <v>151</v>
      </c>
      <c r="B64" s="87"/>
      <c r="C64" s="87"/>
      <c r="D64" s="87"/>
      <c r="E64" s="87"/>
      <c r="F64" s="87"/>
      <c r="G64" s="87"/>
      <c r="H64" s="87"/>
      <c r="I64" s="87"/>
      <c r="J64" s="87"/>
      <c r="K64" s="87"/>
      <c r="L64" s="87"/>
      <c r="M64" s="87"/>
      <c r="N64" s="88"/>
    </row>
    <row r="65" spans="1:14" s="19" customFormat="1" ht="30" customHeight="1" x14ac:dyDescent="0.25">
      <c r="A65" s="101" t="s">
        <v>353</v>
      </c>
      <c r="B65" s="129" t="s">
        <v>345</v>
      </c>
      <c r="C65" s="130"/>
      <c r="D65" s="130"/>
      <c r="E65" s="130"/>
      <c r="F65" s="130"/>
      <c r="G65" s="130"/>
      <c r="H65" s="130"/>
      <c r="I65" s="111" t="s">
        <v>171</v>
      </c>
      <c r="J65" s="111"/>
      <c r="K65" s="111"/>
      <c r="L65" s="111"/>
      <c r="M65" s="111"/>
      <c r="N65" s="111"/>
    </row>
    <row r="66" spans="1:14" s="19" customFormat="1" ht="30" customHeight="1" x14ac:dyDescent="0.25">
      <c r="A66" s="101"/>
      <c r="B66" s="122"/>
      <c r="C66" s="122"/>
      <c r="D66" s="122"/>
      <c r="E66" s="122"/>
      <c r="F66" s="122"/>
      <c r="G66" s="122"/>
      <c r="H66" s="122"/>
      <c r="I66" s="111"/>
      <c r="J66" s="111"/>
      <c r="K66" s="111"/>
      <c r="L66" s="111"/>
      <c r="M66" s="111"/>
      <c r="N66" s="111"/>
    </row>
    <row r="67" spans="1:14" s="19" customFormat="1" ht="30" customHeight="1" x14ac:dyDescent="0.25">
      <c r="A67" s="86" t="s">
        <v>152</v>
      </c>
      <c r="B67" s="87"/>
      <c r="C67" s="87"/>
      <c r="D67" s="87"/>
      <c r="E67" s="87"/>
      <c r="F67" s="87"/>
      <c r="G67" s="87"/>
      <c r="H67" s="87"/>
      <c r="I67" s="87"/>
      <c r="J67" s="87"/>
      <c r="K67" s="87"/>
      <c r="L67" s="87"/>
      <c r="M67" s="87"/>
      <c r="N67" s="88"/>
    </row>
    <row r="68" spans="1:14" s="19" customFormat="1" ht="30" customHeight="1" x14ac:dyDescent="0.25">
      <c r="A68" s="142" t="s">
        <v>354</v>
      </c>
      <c r="B68" s="113" t="s">
        <v>346</v>
      </c>
      <c r="C68" s="113"/>
      <c r="D68" s="113"/>
      <c r="E68" s="113"/>
      <c r="F68" s="113"/>
      <c r="G68" s="113"/>
      <c r="H68" s="113"/>
      <c r="I68" s="144" t="s">
        <v>172</v>
      </c>
      <c r="J68" s="145"/>
      <c r="K68" s="145"/>
      <c r="L68" s="145"/>
      <c r="M68" s="145"/>
      <c r="N68" s="146"/>
    </row>
    <row r="69" spans="1:14" s="19" customFormat="1" ht="30" customHeight="1" x14ac:dyDescent="0.25">
      <c r="A69" s="143"/>
      <c r="B69" s="113"/>
      <c r="C69" s="113"/>
      <c r="D69" s="113"/>
      <c r="E69" s="113"/>
      <c r="F69" s="113"/>
      <c r="G69" s="113"/>
      <c r="H69" s="113"/>
      <c r="I69" s="147"/>
      <c r="J69" s="148"/>
      <c r="K69" s="148"/>
      <c r="L69" s="148"/>
      <c r="M69" s="148"/>
      <c r="N69" s="149"/>
    </row>
    <row r="70" spans="1:14" s="19" customFormat="1" ht="30" customHeight="1" x14ac:dyDescent="0.2">
      <c r="A70" s="17"/>
      <c r="B70" s="84"/>
      <c r="C70" s="84"/>
      <c r="D70" s="84"/>
      <c r="E70" s="84"/>
      <c r="F70" s="84"/>
      <c r="G70" s="84"/>
      <c r="H70" s="84"/>
      <c r="I70" s="84"/>
      <c r="J70" s="84"/>
      <c r="K70" s="84"/>
      <c r="L70" s="84"/>
      <c r="M70" s="84"/>
      <c r="N70" s="84"/>
    </row>
    <row r="71" spans="1:14" s="19" customFormat="1" ht="30" customHeight="1" x14ac:dyDescent="0.2">
      <c r="A71" s="17"/>
      <c r="B71" s="84"/>
      <c r="C71" s="84"/>
      <c r="D71" s="84"/>
      <c r="E71" s="84"/>
      <c r="F71" s="84"/>
      <c r="G71" s="84"/>
      <c r="H71" s="84"/>
      <c r="I71" s="84"/>
      <c r="J71" s="84"/>
      <c r="K71" s="84"/>
      <c r="L71" s="84"/>
      <c r="M71" s="84"/>
      <c r="N71" s="84"/>
    </row>
    <row r="72" spans="1:14" s="19" customFormat="1" ht="30" customHeight="1" x14ac:dyDescent="0.2">
      <c r="A72" s="17"/>
      <c r="B72" s="84"/>
      <c r="C72" s="84"/>
      <c r="D72" s="84"/>
      <c r="E72" s="84"/>
      <c r="F72" s="84"/>
      <c r="G72" s="84"/>
      <c r="H72" s="84"/>
      <c r="I72" s="84"/>
      <c r="J72" s="84"/>
      <c r="K72" s="84"/>
      <c r="L72" s="84"/>
      <c r="M72" s="84"/>
      <c r="N72" s="84"/>
    </row>
    <row r="73" spans="1:14" s="19" customFormat="1" ht="30" customHeight="1" x14ac:dyDescent="0.2">
      <c r="A73" s="17"/>
      <c r="B73" s="84"/>
      <c r="C73" s="84"/>
      <c r="D73" s="84"/>
      <c r="E73" s="84"/>
      <c r="F73" s="84"/>
      <c r="G73" s="84"/>
      <c r="H73" s="84"/>
      <c r="I73" s="84"/>
      <c r="J73" s="84"/>
      <c r="K73" s="84"/>
      <c r="L73" s="84"/>
      <c r="M73" s="84"/>
      <c r="N73" s="84"/>
    </row>
    <row r="74" spans="1:14" s="19" customFormat="1" ht="30" customHeight="1" x14ac:dyDescent="0.2">
      <c r="A74" s="17"/>
      <c r="B74" s="84"/>
      <c r="C74" s="84"/>
      <c r="D74" s="84"/>
      <c r="E74" s="84"/>
      <c r="F74" s="84"/>
      <c r="G74" s="84"/>
      <c r="H74" s="84"/>
      <c r="I74" s="84"/>
      <c r="J74" s="84"/>
      <c r="K74" s="84"/>
      <c r="L74" s="84"/>
      <c r="M74" s="84"/>
      <c r="N74" s="84"/>
    </row>
    <row r="75" spans="1:14" s="19" customFormat="1" ht="30" customHeight="1" x14ac:dyDescent="0.2">
      <c r="A75" s="17"/>
      <c r="B75" s="84"/>
      <c r="C75" s="84"/>
      <c r="D75" s="84"/>
      <c r="E75" s="84"/>
      <c r="F75" s="84"/>
      <c r="G75" s="84"/>
      <c r="H75" s="84"/>
      <c r="I75" s="84"/>
      <c r="J75" s="84"/>
      <c r="K75" s="84"/>
      <c r="L75" s="84"/>
      <c r="M75" s="84"/>
      <c r="N75" s="84"/>
    </row>
    <row r="76" spans="1:14" ht="30" customHeight="1" x14ac:dyDescent="0.2">
      <c r="B76" s="84"/>
      <c r="C76" s="84"/>
      <c r="D76" s="84"/>
      <c r="E76" s="84"/>
      <c r="F76" s="84"/>
      <c r="G76" s="84"/>
      <c r="H76" s="84"/>
      <c r="I76" s="84"/>
      <c r="J76" s="84"/>
      <c r="K76" s="84"/>
      <c r="L76" s="84"/>
      <c r="M76" s="84"/>
      <c r="N76" s="84"/>
    </row>
    <row r="77" spans="1:14" ht="30" customHeight="1" x14ac:dyDescent="0.2">
      <c r="B77" s="84"/>
      <c r="C77" s="84"/>
      <c r="D77" s="84"/>
      <c r="E77" s="84"/>
      <c r="F77" s="84"/>
      <c r="G77" s="84"/>
      <c r="H77" s="84"/>
      <c r="I77" s="84"/>
      <c r="J77" s="84"/>
      <c r="K77" s="84"/>
      <c r="L77" s="84"/>
      <c r="M77" s="84"/>
      <c r="N77" s="84"/>
    </row>
    <row r="78" spans="1:14" ht="30" customHeight="1" x14ac:dyDescent="0.2"/>
    <row r="79" spans="1:14" ht="30" customHeight="1" x14ac:dyDescent="0.2"/>
    <row r="80" spans="1:14" ht="30" customHeight="1" x14ac:dyDescent="0.2"/>
    <row r="81" ht="30" customHeight="1" x14ac:dyDescent="0.2"/>
    <row r="82" ht="30" customHeight="1" x14ac:dyDescent="0.2"/>
    <row r="83" ht="30" customHeight="1" x14ac:dyDescent="0.2"/>
    <row r="84" ht="30" customHeight="1" x14ac:dyDescent="0.2"/>
    <row r="85" ht="30" customHeight="1" x14ac:dyDescent="0.2"/>
  </sheetData>
  <mergeCells count="116">
    <mergeCell ref="B76:H76"/>
    <mergeCell ref="I76:N76"/>
    <mergeCell ref="B77:H77"/>
    <mergeCell ref="I77:N77"/>
    <mergeCell ref="B72:H72"/>
    <mergeCell ref="I72:N72"/>
    <mergeCell ref="I68:N69"/>
    <mergeCell ref="B68:H69"/>
    <mergeCell ref="B73:H73"/>
    <mergeCell ref="I73:N73"/>
    <mergeCell ref="B74:H74"/>
    <mergeCell ref="I74:N74"/>
    <mergeCell ref="B75:H75"/>
    <mergeCell ref="I75:N75"/>
    <mergeCell ref="B71:H71"/>
    <mergeCell ref="I71:N71"/>
    <mergeCell ref="A67:N67"/>
    <mergeCell ref="B70:H70"/>
    <mergeCell ref="I70:N70"/>
    <mergeCell ref="A68:A69"/>
    <mergeCell ref="I50:N51"/>
    <mergeCell ref="A52:A53"/>
    <mergeCell ref="B52:H53"/>
    <mergeCell ref="I52:N53"/>
    <mergeCell ref="A65:A66"/>
    <mergeCell ref="B65:H66"/>
    <mergeCell ref="I65:N66"/>
    <mergeCell ref="I58:N59"/>
    <mergeCell ref="A50:A51"/>
    <mergeCell ref="B50:H51"/>
    <mergeCell ref="B60:H61"/>
    <mergeCell ref="I60:N61"/>
    <mergeCell ref="I56:N57"/>
    <mergeCell ref="A64:N64"/>
    <mergeCell ref="A54:A55"/>
    <mergeCell ref="B54:H55"/>
    <mergeCell ref="I54:N55"/>
    <mergeCell ref="A62:A63"/>
    <mergeCell ref="B62:H63"/>
    <mergeCell ref="I62:N63"/>
    <mergeCell ref="B1:N1"/>
    <mergeCell ref="A3:N3"/>
    <mergeCell ref="B6:H7"/>
    <mergeCell ref="I14:N15"/>
    <mergeCell ref="I12:N13"/>
    <mergeCell ref="B4:H5"/>
    <mergeCell ref="A14:A15"/>
    <mergeCell ref="A12:A13"/>
    <mergeCell ref="I2:N2"/>
    <mergeCell ref="A2:H2"/>
    <mergeCell ref="A10:A11"/>
    <mergeCell ref="B10:H11"/>
    <mergeCell ref="I10:N11"/>
    <mergeCell ref="A8:A9"/>
    <mergeCell ref="B8:H9"/>
    <mergeCell ref="I8:N9"/>
    <mergeCell ref="A4:A5"/>
    <mergeCell ref="B12:H13"/>
    <mergeCell ref="I4:N5"/>
    <mergeCell ref="A6:A7"/>
    <mergeCell ref="B14:H15"/>
    <mergeCell ref="I6:N7"/>
    <mergeCell ref="A60:A61"/>
    <mergeCell ref="A25:A26"/>
    <mergeCell ref="I29:N30"/>
    <mergeCell ref="A31:A32"/>
    <mergeCell ref="B31:H32"/>
    <mergeCell ref="A22:A23"/>
    <mergeCell ref="B22:H23"/>
    <mergeCell ref="I22:N23"/>
    <mergeCell ref="B58:H59"/>
    <mergeCell ref="A58:A59"/>
    <mergeCell ref="I31:N32"/>
    <mergeCell ref="I42:N43"/>
    <mergeCell ref="A56:A57"/>
    <mergeCell ref="B56:H57"/>
    <mergeCell ref="A29:A30"/>
    <mergeCell ref="B29:H30"/>
    <mergeCell ref="B38:H39"/>
    <mergeCell ref="A44:N44"/>
    <mergeCell ref="A47:A48"/>
    <mergeCell ref="B47:H48"/>
    <mergeCell ref="I47:N48"/>
    <mergeCell ref="A45:A46"/>
    <mergeCell ref="B45:H46"/>
    <mergeCell ref="I45:N46"/>
    <mergeCell ref="A49:N49"/>
    <mergeCell ref="A33:A34"/>
    <mergeCell ref="B33:H34"/>
    <mergeCell ref="I33:N34"/>
    <mergeCell ref="B42:H43"/>
    <mergeCell ref="I40:N41"/>
    <mergeCell ref="A42:A43"/>
    <mergeCell ref="A38:A39"/>
    <mergeCell ref="B40:H41"/>
    <mergeCell ref="I38:N39"/>
    <mergeCell ref="A40:A41"/>
    <mergeCell ref="A36:A37"/>
    <mergeCell ref="B36:H37"/>
    <mergeCell ref="I36:N37"/>
    <mergeCell ref="B25:H26"/>
    <mergeCell ref="I25:N26"/>
    <mergeCell ref="A35:N35"/>
    <mergeCell ref="A27:A28"/>
    <mergeCell ref="B27:H28"/>
    <mergeCell ref="I27:N28"/>
    <mergeCell ref="A16:A17"/>
    <mergeCell ref="B16:H17"/>
    <mergeCell ref="I16:N17"/>
    <mergeCell ref="A24:N24"/>
    <mergeCell ref="B18:H19"/>
    <mergeCell ref="A20:A21"/>
    <mergeCell ref="B20:H21"/>
    <mergeCell ref="I20:N21"/>
    <mergeCell ref="I18:N19"/>
    <mergeCell ref="A18:A19"/>
  </mergeCells>
  <pageMargins left="0.7" right="0.7" top="0.75" bottom="0.75" header="0.3" footer="0.3"/>
  <pageSetup paperSize="8" scale="8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ADF38-594B-4ABA-A1C2-B4AFF15BE00B}">
  <sheetPr>
    <pageSetUpPr fitToPage="1"/>
  </sheetPr>
  <dimension ref="A1:AA14"/>
  <sheetViews>
    <sheetView topLeftCell="L1" zoomScaleNormal="100" workbookViewId="0">
      <selection activeCell="K10" sqref="K10"/>
    </sheetView>
  </sheetViews>
  <sheetFormatPr defaultRowHeight="14.25" x14ac:dyDescent="0.2"/>
  <cols>
    <col min="1" max="1" width="5.42578125" style="2" customWidth="1"/>
    <col min="2" max="6" width="9.140625" style="2"/>
    <col min="7" max="7" width="11.28515625" style="2" customWidth="1"/>
    <col min="8" max="8" width="10.5703125" style="2" customWidth="1"/>
    <col min="9" max="9" width="7.85546875" style="2" customWidth="1"/>
    <col min="10" max="10" width="23.28515625" style="2" bestFit="1" customWidth="1"/>
    <col min="11" max="11" width="65.28515625" style="2" customWidth="1"/>
    <col min="12" max="12" width="5.7109375" style="2" customWidth="1"/>
    <col min="13" max="13" width="10.7109375" style="2" customWidth="1"/>
    <col min="14" max="14" width="21.28515625" style="2" customWidth="1"/>
    <col min="15" max="15" width="63.85546875" style="2" bestFit="1" customWidth="1"/>
    <col min="16" max="16" width="5.7109375" style="2" customWidth="1"/>
    <col min="17" max="21" width="30.7109375" style="2" customWidth="1"/>
    <col min="22" max="22" width="9.140625" style="2"/>
    <col min="23" max="27" width="10.85546875" style="2" customWidth="1"/>
    <col min="28" max="16384" width="9.140625" style="2"/>
  </cols>
  <sheetData>
    <row r="1" spans="1:27" x14ac:dyDescent="0.2">
      <c r="A1" s="2" t="s">
        <v>24</v>
      </c>
    </row>
    <row r="2" spans="1:27" ht="40.5" customHeight="1" x14ac:dyDescent="0.2">
      <c r="B2" s="153" t="s">
        <v>38</v>
      </c>
      <c r="C2" s="153"/>
      <c r="D2" s="153"/>
      <c r="E2" s="153"/>
      <c r="F2" s="153"/>
      <c r="G2" s="153"/>
      <c r="H2" s="153"/>
      <c r="I2" s="153"/>
      <c r="J2" s="153"/>
      <c r="K2" s="153"/>
      <c r="L2" s="10"/>
      <c r="M2" s="10"/>
      <c r="N2" s="10"/>
      <c r="O2" s="10"/>
      <c r="P2" s="10"/>
      <c r="Q2" s="151"/>
      <c r="R2" s="151"/>
      <c r="S2" s="151"/>
      <c r="T2" s="151"/>
      <c r="U2" s="151"/>
      <c r="V2" s="4"/>
      <c r="W2" s="4"/>
      <c r="X2" s="4"/>
      <c r="Y2" s="4"/>
      <c r="Z2" s="4"/>
    </row>
    <row r="3" spans="1:27" ht="24" customHeight="1" x14ac:dyDescent="0.2">
      <c r="Q3" s="150"/>
      <c r="R3" s="150"/>
      <c r="S3" s="150"/>
      <c r="T3" s="150"/>
      <c r="U3" s="150"/>
      <c r="V3" s="150"/>
      <c r="W3" s="150"/>
      <c r="X3" s="150"/>
      <c r="Y3" s="150"/>
      <c r="Z3" s="150"/>
    </row>
    <row r="4" spans="1:27" ht="36.75" customHeight="1" thickBot="1" x14ac:dyDescent="0.25">
      <c r="I4" s="152" t="s">
        <v>28</v>
      </c>
      <c r="J4" s="152"/>
      <c r="K4" s="152"/>
      <c r="L4" s="9"/>
      <c r="M4" s="152" t="s">
        <v>29</v>
      </c>
      <c r="N4" s="152"/>
      <c r="O4" s="152"/>
      <c r="P4" s="9"/>
      <c r="Q4" s="154" t="s">
        <v>41</v>
      </c>
      <c r="R4" s="154"/>
      <c r="S4" s="154"/>
      <c r="T4" s="154"/>
      <c r="U4" s="154"/>
      <c r="W4" s="4"/>
      <c r="X4" s="4"/>
      <c r="Y4" s="4"/>
      <c r="Z4" s="4"/>
      <c r="AA4" s="4"/>
    </row>
    <row r="5" spans="1:27" s="3" customFormat="1" ht="50.25" customHeight="1" thickTop="1" thickBot="1" x14ac:dyDescent="0.25">
      <c r="I5" s="34" t="s">
        <v>26</v>
      </c>
      <c r="J5" s="5" t="s">
        <v>25</v>
      </c>
      <c r="K5" s="5" t="s">
        <v>27</v>
      </c>
      <c r="L5" s="6"/>
      <c r="M5" s="34" t="s">
        <v>26</v>
      </c>
      <c r="N5" s="5" t="s">
        <v>37</v>
      </c>
      <c r="O5" s="7" t="s">
        <v>27</v>
      </c>
      <c r="Q5" s="5" t="str">
        <f>N9</f>
        <v>Ødelæggende (4)</v>
      </c>
      <c r="R5" s="12" t="s">
        <v>31</v>
      </c>
      <c r="S5" s="11" t="s">
        <v>32</v>
      </c>
      <c r="T5" s="11" t="s">
        <v>32</v>
      </c>
      <c r="U5" s="11" t="s">
        <v>32</v>
      </c>
      <c r="V5" s="2"/>
      <c r="W5" s="59"/>
      <c r="X5" s="60"/>
      <c r="Y5" s="60"/>
      <c r="Z5" s="60"/>
      <c r="AA5" s="60"/>
    </row>
    <row r="6" spans="1:27" ht="99.95" customHeight="1" thickTop="1" thickBot="1" x14ac:dyDescent="0.25">
      <c r="I6" s="30">
        <v>1</v>
      </c>
      <c r="J6" s="21" t="s">
        <v>42</v>
      </c>
      <c r="K6" s="22" t="s">
        <v>380</v>
      </c>
      <c r="L6" s="23"/>
      <c r="M6" s="30">
        <v>1</v>
      </c>
      <c r="N6" s="21" t="s">
        <v>323</v>
      </c>
      <c r="O6" s="22" t="s">
        <v>33</v>
      </c>
      <c r="Q6" s="5" t="str">
        <f>N8</f>
        <v>Meget alvorlig (3)</v>
      </c>
      <c r="R6" s="13" t="s">
        <v>46</v>
      </c>
      <c r="S6" s="12" t="s">
        <v>31</v>
      </c>
      <c r="T6" s="12" t="s">
        <v>31</v>
      </c>
      <c r="U6" s="11" t="s">
        <v>32</v>
      </c>
      <c r="W6" s="60"/>
      <c r="X6" s="60"/>
      <c r="Y6" s="60"/>
      <c r="Z6" s="60"/>
      <c r="AA6" s="60"/>
    </row>
    <row r="7" spans="1:27" ht="99.95" customHeight="1" thickTop="1" thickBot="1" x14ac:dyDescent="0.25">
      <c r="I7" s="31">
        <v>2</v>
      </c>
      <c r="J7" s="24" t="s">
        <v>43</v>
      </c>
      <c r="K7" s="25" t="s">
        <v>381</v>
      </c>
      <c r="L7" s="23"/>
      <c r="M7" s="31">
        <v>2</v>
      </c>
      <c r="N7" s="24" t="s">
        <v>324</v>
      </c>
      <c r="O7" s="25" t="s">
        <v>34</v>
      </c>
      <c r="Q7" s="8" t="str">
        <f>N7</f>
        <v>Mindre alvorlig (2)</v>
      </c>
      <c r="R7" s="14" t="s">
        <v>30</v>
      </c>
      <c r="S7" s="13" t="s">
        <v>46</v>
      </c>
      <c r="T7" s="12" t="s">
        <v>31</v>
      </c>
      <c r="U7" s="12" t="s">
        <v>31</v>
      </c>
      <c r="W7" s="60"/>
      <c r="X7" s="60"/>
      <c r="Y7" s="60"/>
      <c r="Z7" s="60"/>
      <c r="AA7" s="60"/>
    </row>
    <row r="8" spans="1:27" ht="99.95" customHeight="1" thickTop="1" thickBot="1" x14ac:dyDescent="0.25">
      <c r="I8" s="32">
        <v>3</v>
      </c>
      <c r="J8" s="26" t="s">
        <v>44</v>
      </c>
      <c r="K8" s="27" t="s">
        <v>382</v>
      </c>
      <c r="L8" s="23"/>
      <c r="M8" s="32">
        <v>3</v>
      </c>
      <c r="N8" s="26" t="s">
        <v>325</v>
      </c>
      <c r="O8" s="27" t="s">
        <v>35</v>
      </c>
      <c r="Q8" s="5" t="str">
        <f>N6</f>
        <v>Ubetydelig (1)</v>
      </c>
      <c r="R8" s="14" t="s">
        <v>30</v>
      </c>
      <c r="S8" s="14" t="s">
        <v>30</v>
      </c>
      <c r="T8" s="13" t="s">
        <v>46</v>
      </c>
      <c r="U8" s="12" t="s">
        <v>31</v>
      </c>
      <c r="W8" s="60"/>
      <c r="X8" s="60"/>
      <c r="Y8" s="60"/>
      <c r="Z8" s="60"/>
      <c r="AA8" s="60"/>
    </row>
    <row r="9" spans="1:27" ht="99.95" customHeight="1" thickTop="1" thickBot="1" x14ac:dyDescent="0.25">
      <c r="I9" s="33">
        <v>4</v>
      </c>
      <c r="J9" s="28" t="s">
        <v>45</v>
      </c>
      <c r="K9" s="29" t="s">
        <v>383</v>
      </c>
      <c r="L9" s="23"/>
      <c r="M9" s="33">
        <v>4</v>
      </c>
      <c r="N9" s="28" t="s">
        <v>326</v>
      </c>
      <c r="O9" s="29" t="s">
        <v>36</v>
      </c>
      <c r="Q9" s="10"/>
      <c r="R9" s="5" t="str">
        <f>J6</f>
        <v>Usandsynligt (1)</v>
      </c>
      <c r="S9" s="5" t="str">
        <f>J7</f>
        <v>Mindre sandsynligt (2)</v>
      </c>
      <c r="T9" s="5" t="str">
        <f>J8</f>
        <v>Sandsynligt (3)</v>
      </c>
      <c r="U9" s="5" t="str">
        <f>J9</f>
        <v>Forventet (4)</v>
      </c>
      <c r="W9" s="60"/>
      <c r="X9" s="60"/>
      <c r="Y9" s="60"/>
      <c r="Z9" s="60"/>
      <c r="AA9" s="60"/>
    </row>
    <row r="10" spans="1:27" ht="46.5" customHeight="1" thickTop="1" x14ac:dyDescent="0.2"/>
    <row r="11" spans="1:27" ht="30" customHeight="1" x14ac:dyDescent="0.2"/>
    <row r="12" spans="1:27" ht="30" customHeight="1" x14ac:dyDescent="0.2"/>
    <row r="13" spans="1:27" ht="89.25" customHeight="1" x14ac:dyDescent="0.2"/>
    <row r="14" spans="1:27" ht="73.5" customHeight="1" x14ac:dyDescent="0.2"/>
  </sheetData>
  <mergeCells count="6">
    <mergeCell ref="Q3:Z3"/>
    <mergeCell ref="Q2:U2"/>
    <mergeCell ref="I4:K4"/>
    <mergeCell ref="B2:K2"/>
    <mergeCell ref="M4:O4"/>
    <mergeCell ref="Q4:U4"/>
  </mergeCells>
  <pageMargins left="0.7" right="0.7" top="0.75" bottom="0.75" header="0.3" footer="0.3"/>
  <pageSetup paperSize="8" scale="39"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E8AD-4449-4471-B95B-0FC7F17258FA}">
  <sheetPr>
    <pageSetUpPr fitToPage="1"/>
  </sheetPr>
  <dimension ref="A1:P38"/>
  <sheetViews>
    <sheetView zoomScaleNormal="100" workbookViewId="0">
      <selection activeCell="D21" sqref="D21"/>
    </sheetView>
  </sheetViews>
  <sheetFormatPr defaultRowHeight="15" x14ac:dyDescent="0.25"/>
  <cols>
    <col min="1" max="1" width="25.28515625" customWidth="1"/>
    <col min="2" max="2" width="7.140625" style="18" customWidth="1"/>
    <col min="3" max="3" width="27" customWidth="1"/>
    <col min="4" max="4" width="44.42578125" bestFit="1" customWidth="1"/>
    <col min="5" max="5" width="38.5703125" bestFit="1" customWidth="1"/>
    <col min="6" max="6" width="21.42578125" style="1" bestFit="1" customWidth="1"/>
    <col min="7" max="7" width="27.140625" style="1" bestFit="1" customWidth="1"/>
    <col min="8" max="8" width="21.7109375" style="1" bestFit="1" customWidth="1"/>
    <col min="9" max="9" width="12" bestFit="1" customWidth="1"/>
    <col min="10" max="10" width="40.140625" customWidth="1"/>
    <col min="11" max="11" width="22" style="1" customWidth="1"/>
    <col min="12" max="12" width="23.5703125" style="1" customWidth="1"/>
    <col min="13" max="13" width="22.5703125" style="1" customWidth="1"/>
    <col min="14" max="14" width="19.5703125" customWidth="1"/>
    <col min="15" max="15" width="23" customWidth="1"/>
    <col min="16" max="16" width="23.42578125" customWidth="1"/>
  </cols>
  <sheetData>
    <row r="1" spans="1:16" s="15" customFormat="1" ht="72" x14ac:dyDescent="0.25">
      <c r="A1" s="52" t="s">
        <v>2</v>
      </c>
      <c r="B1" s="52" t="s">
        <v>0</v>
      </c>
      <c r="C1" s="52" t="s">
        <v>1</v>
      </c>
      <c r="D1" s="52" t="s">
        <v>5</v>
      </c>
      <c r="E1" s="52" t="s">
        <v>7</v>
      </c>
      <c r="F1" s="52" t="s">
        <v>6</v>
      </c>
      <c r="G1" s="52" t="s">
        <v>375</v>
      </c>
      <c r="H1" s="52" t="s">
        <v>15</v>
      </c>
      <c r="I1" s="52" t="s">
        <v>4</v>
      </c>
      <c r="J1" s="52" t="s">
        <v>89</v>
      </c>
      <c r="K1" s="52" t="s">
        <v>18</v>
      </c>
      <c r="L1" s="52" t="s">
        <v>17</v>
      </c>
      <c r="M1" s="52" t="s">
        <v>16</v>
      </c>
      <c r="N1" s="52" t="s">
        <v>47</v>
      </c>
      <c r="O1" s="52" t="s">
        <v>10</v>
      </c>
      <c r="P1" s="52" t="s">
        <v>9</v>
      </c>
    </row>
    <row r="2" spans="1:16" s="15" customFormat="1" ht="30" customHeight="1" x14ac:dyDescent="0.25">
      <c r="A2" s="155" t="s">
        <v>3</v>
      </c>
      <c r="B2" s="155"/>
      <c r="C2" s="155"/>
      <c r="D2" s="155"/>
      <c r="E2" s="155"/>
      <c r="F2" s="155"/>
      <c r="G2" s="155"/>
      <c r="H2" s="155"/>
      <c r="I2" s="155"/>
      <c r="J2" s="155"/>
      <c r="K2" s="155"/>
      <c r="L2" s="155"/>
      <c r="M2" s="155"/>
      <c r="N2" s="155"/>
      <c r="O2" s="156"/>
      <c r="P2" s="156"/>
    </row>
    <row r="3" spans="1:16" s="1" customFormat="1" ht="89.25" customHeight="1" x14ac:dyDescent="0.25">
      <c r="A3" s="41" t="s">
        <v>3</v>
      </c>
      <c r="B3" s="53" t="s">
        <v>61</v>
      </c>
      <c r="C3" s="41" t="s">
        <v>23</v>
      </c>
      <c r="D3" s="41" t="s">
        <v>263</v>
      </c>
      <c r="E3" s="54"/>
      <c r="F3" s="55" t="s">
        <v>45</v>
      </c>
      <c r="G3" s="56"/>
      <c r="H3" s="54" t="s">
        <v>326</v>
      </c>
      <c r="I3" s="54" t="str">
        <f>INDEX(Evalueringskriterier!$R$5:$U$8,MATCH(H3,Evalueringskriterier!$Q$5:$Q$8,0),MATCH(F3,Evalueringskriterier!$R$9:$U$9,0))</f>
        <v>Meget høj</v>
      </c>
      <c r="J3" s="41"/>
      <c r="K3" s="55" t="s">
        <v>45</v>
      </c>
      <c r="L3" s="54" t="s">
        <v>326</v>
      </c>
      <c r="M3" s="54" t="str">
        <f>INDEX(Evalueringskriterier!$R$5:$U$8,MATCH(L3,Evalueringskriterier!$Q$5:$Q$8,0),MATCH(K3,Evalueringskriterier!$R$9:$U$9,0))</f>
        <v>Meget høj</v>
      </c>
      <c r="N3" s="54"/>
      <c r="O3" s="54"/>
      <c r="P3" s="54"/>
    </row>
    <row r="4" spans="1:16" ht="123" customHeight="1" x14ac:dyDescent="0.25">
      <c r="A4" s="41" t="s">
        <v>3</v>
      </c>
      <c r="B4" s="53" t="s">
        <v>62</v>
      </c>
      <c r="C4" s="41" t="s">
        <v>22</v>
      </c>
      <c r="D4" s="41" t="s">
        <v>392</v>
      </c>
      <c r="E4" s="41"/>
      <c r="F4" s="55" t="s">
        <v>45</v>
      </c>
      <c r="G4" s="41"/>
      <c r="H4" s="54" t="s">
        <v>326</v>
      </c>
      <c r="I4" s="54" t="str">
        <f>INDEX(Evalueringskriterier!$R$5:$U$8,MATCH(H4,Evalueringskriterier!$Q$5:$Q$8,0),MATCH(F4,Evalueringskriterier!$R$9:$U$9,0))</f>
        <v>Meget høj</v>
      </c>
      <c r="J4" s="41"/>
      <c r="K4" s="55" t="s">
        <v>45</v>
      </c>
      <c r="L4" s="54" t="s">
        <v>326</v>
      </c>
      <c r="M4" s="54" t="str">
        <f>INDEX(Evalueringskriterier!$R$5:$U$8,MATCH(L4,Evalueringskriterier!$Q$5:$Q$8,0),MATCH(K4,Evalueringskriterier!$R$9:$U$9,0))</f>
        <v>Meget høj</v>
      </c>
      <c r="N4" s="41"/>
      <c r="O4" s="41"/>
      <c r="P4" s="41"/>
    </row>
    <row r="5" spans="1:16" ht="108.75" customHeight="1" x14ac:dyDescent="0.25">
      <c r="A5" s="41" t="s">
        <v>3</v>
      </c>
      <c r="B5" s="53" t="s">
        <v>63</v>
      </c>
      <c r="C5" s="41" t="s">
        <v>207</v>
      </c>
      <c r="D5" s="41" t="s">
        <v>300</v>
      </c>
      <c r="E5" s="41"/>
      <c r="F5" s="55" t="s">
        <v>45</v>
      </c>
      <c r="G5" s="41"/>
      <c r="H5" s="54" t="s">
        <v>326</v>
      </c>
      <c r="I5" s="54" t="str">
        <f>INDEX(Evalueringskriterier!$R$5:$U$8,MATCH(H5,Evalueringskriterier!$Q$5:$Q$8,0),MATCH(F5,Evalueringskriterier!$R$9:$U$9,0))</f>
        <v>Meget høj</v>
      </c>
      <c r="J5" s="41"/>
      <c r="K5" s="55" t="s">
        <v>45</v>
      </c>
      <c r="L5" s="54" t="s">
        <v>326</v>
      </c>
      <c r="M5" s="54" t="str">
        <f>INDEX(Evalueringskriterier!$R$5:$U$8,MATCH(L5,Evalueringskriterier!$Q$5:$Q$8,0),MATCH(K5,Evalueringskriterier!$R$9:$U$9,0))</f>
        <v>Meget høj</v>
      </c>
      <c r="N5" s="41"/>
      <c r="O5" s="41"/>
      <c r="P5" s="41"/>
    </row>
    <row r="6" spans="1:16" ht="125.25" customHeight="1" x14ac:dyDescent="0.25">
      <c r="A6" s="41" t="s">
        <v>3</v>
      </c>
      <c r="B6" s="53" t="s">
        <v>64</v>
      </c>
      <c r="C6" s="41" t="s">
        <v>363</v>
      </c>
      <c r="D6" s="41" t="s">
        <v>201</v>
      </c>
      <c r="E6" s="41"/>
      <c r="F6" s="55" t="s">
        <v>45</v>
      </c>
      <c r="G6" s="41"/>
      <c r="H6" s="54" t="s">
        <v>326</v>
      </c>
      <c r="I6" s="54" t="str">
        <f>INDEX(Evalueringskriterier!$R$5:$U$8,MATCH(H6,Evalueringskriterier!$Q$5:$Q$8,0),MATCH(F6,Evalueringskriterier!$R$9:$U$9,0))</f>
        <v>Meget høj</v>
      </c>
      <c r="J6" s="41"/>
      <c r="K6" s="55" t="s">
        <v>45</v>
      </c>
      <c r="L6" s="54" t="s">
        <v>326</v>
      </c>
      <c r="M6" s="54" t="str">
        <f>INDEX(Evalueringskriterier!$R$5:$U$8,MATCH(L6,Evalueringskriterier!$Q$5:$Q$8,0),MATCH(K6,Evalueringskriterier!$R$9:$U$9,0))</f>
        <v>Meget høj</v>
      </c>
      <c r="N6" s="41"/>
      <c r="O6" s="41"/>
      <c r="P6" s="41"/>
    </row>
    <row r="7" spans="1:16" ht="149.25" customHeight="1" x14ac:dyDescent="0.25">
      <c r="A7" s="41" t="s">
        <v>3</v>
      </c>
      <c r="B7" s="53" t="s">
        <v>65</v>
      </c>
      <c r="C7" s="41" t="s">
        <v>372</v>
      </c>
      <c r="D7" s="41" t="s">
        <v>135</v>
      </c>
      <c r="E7" s="41"/>
      <c r="F7" s="55" t="s">
        <v>45</v>
      </c>
      <c r="G7" s="41"/>
      <c r="H7" s="54" t="s">
        <v>326</v>
      </c>
      <c r="I7" s="54" t="str">
        <f>INDEX(Evalueringskriterier!$R$5:$U$8,MATCH(H7,Evalueringskriterier!$Q$5:$Q$8,0),MATCH(F7,Evalueringskriterier!$R$9:$U$9,0))</f>
        <v>Meget høj</v>
      </c>
      <c r="J7" s="41"/>
      <c r="K7" s="55" t="s">
        <v>45</v>
      </c>
      <c r="L7" s="54" t="s">
        <v>326</v>
      </c>
      <c r="M7" s="54" t="str">
        <f>INDEX(Evalueringskriterier!$R$5:$U$8,MATCH(L7,Evalueringskriterier!$Q$5:$Q$8,0),MATCH(K7,Evalueringskriterier!$R$9:$U$9,0))</f>
        <v>Meget høj</v>
      </c>
      <c r="N7" s="41"/>
      <c r="O7" s="41"/>
      <c r="P7" s="41"/>
    </row>
    <row r="8" spans="1:16" ht="127.5" customHeight="1" x14ac:dyDescent="0.25">
      <c r="A8" s="41" t="s">
        <v>3</v>
      </c>
      <c r="B8" s="53" t="s">
        <v>66</v>
      </c>
      <c r="C8" s="41" t="s">
        <v>364</v>
      </c>
      <c r="D8" s="41" t="s">
        <v>81</v>
      </c>
      <c r="E8" s="41"/>
      <c r="F8" s="55" t="s">
        <v>45</v>
      </c>
      <c r="G8" s="41"/>
      <c r="H8" s="54" t="s">
        <v>326</v>
      </c>
      <c r="I8" s="54" t="str">
        <f>INDEX(Evalueringskriterier!$R$5:$U$8,MATCH(H8,Evalueringskriterier!$Q$5:$Q$8,0),MATCH(F8,Evalueringskriterier!$R$9:$U$9,0))</f>
        <v>Meget høj</v>
      </c>
      <c r="J8" s="41"/>
      <c r="K8" s="55" t="s">
        <v>45</v>
      </c>
      <c r="L8" s="54" t="s">
        <v>326</v>
      </c>
      <c r="M8" s="54" t="str">
        <f>INDEX(Evalueringskriterier!$R$5:$U$8,MATCH(L8,Evalueringskriterier!$Q$5:$Q$8,0),MATCH(K8,Evalueringskriterier!$R$9:$U$9,0))</f>
        <v>Meget høj</v>
      </c>
      <c r="N8" s="41"/>
      <c r="O8" s="41"/>
      <c r="P8" s="41"/>
    </row>
    <row r="9" spans="1:16" ht="117" customHeight="1" x14ac:dyDescent="0.25">
      <c r="A9" s="41" t="s">
        <v>3</v>
      </c>
      <c r="B9" s="53" t="s">
        <v>67</v>
      </c>
      <c r="C9" s="41" t="s">
        <v>365</v>
      </c>
      <c r="D9" s="41" t="s">
        <v>301</v>
      </c>
      <c r="E9" s="57"/>
      <c r="F9" s="55" t="s">
        <v>45</v>
      </c>
      <c r="G9" s="41"/>
      <c r="H9" s="54" t="s">
        <v>326</v>
      </c>
      <c r="I9" s="54" t="str">
        <f>INDEX(Evalueringskriterier!$R$5:$U$8,MATCH(H9,Evalueringskriterier!$Q$5:$Q$8,0),MATCH(F9,Evalueringskriterier!$R$9:$U$9,0))</f>
        <v>Meget høj</v>
      </c>
      <c r="J9" s="41"/>
      <c r="K9" s="55" t="s">
        <v>45</v>
      </c>
      <c r="L9" s="54" t="s">
        <v>326</v>
      </c>
      <c r="M9" s="54" t="str">
        <f>INDEX(Evalueringskriterier!$R$5:$U$8,MATCH(L9,Evalueringskriterier!$Q$5:$Q$8,0),MATCH(K9,Evalueringskriterier!$R$9:$U$9,0))</f>
        <v>Meget høj</v>
      </c>
      <c r="N9" s="41"/>
      <c r="O9" s="41"/>
      <c r="P9" s="41"/>
    </row>
    <row r="10" spans="1:16" ht="117.75" customHeight="1" x14ac:dyDescent="0.25">
      <c r="A10" s="41" t="s">
        <v>3</v>
      </c>
      <c r="B10" s="53" t="s">
        <v>243</v>
      </c>
      <c r="C10" s="41" t="s">
        <v>371</v>
      </c>
      <c r="D10" s="41" t="s">
        <v>302</v>
      </c>
      <c r="E10" s="57"/>
      <c r="F10" s="55" t="s">
        <v>45</v>
      </c>
      <c r="G10" s="41"/>
      <c r="H10" s="54" t="s">
        <v>326</v>
      </c>
      <c r="I10" s="54" t="str">
        <f>INDEX(Evalueringskriterier!$R$5:$U$8,MATCH(H10,Evalueringskriterier!$Q$5:$Q$8,0),MATCH(F10,Evalueringskriterier!$R$9:$U$9,0))</f>
        <v>Meget høj</v>
      </c>
      <c r="J10" s="41"/>
      <c r="K10" s="55" t="s">
        <v>45</v>
      </c>
      <c r="L10" s="54" t="s">
        <v>326</v>
      </c>
      <c r="M10" s="54" t="str">
        <f>INDEX(Evalueringskriterier!$R$5:$U$8,MATCH(L10,Evalueringskriterier!$Q$5:$Q$8,0),MATCH(K10,Evalueringskriterier!$R$9:$U$9,0))</f>
        <v>Meget høj</v>
      </c>
      <c r="N10" s="41"/>
      <c r="O10" s="41"/>
      <c r="P10" s="41"/>
    </row>
    <row r="11" spans="1:16" s="1" customFormat="1" ht="30" customHeight="1" x14ac:dyDescent="0.25">
      <c r="A11" s="155" t="s">
        <v>19</v>
      </c>
      <c r="B11" s="155"/>
      <c r="C11" s="155"/>
      <c r="D11" s="155"/>
      <c r="E11" s="155"/>
      <c r="F11" s="155"/>
      <c r="G11" s="155"/>
      <c r="H11" s="155"/>
      <c r="I11" s="155"/>
      <c r="J11" s="155"/>
      <c r="K11" s="155"/>
      <c r="L11" s="155"/>
      <c r="M11" s="155"/>
      <c r="N11" s="155"/>
      <c r="O11" s="155"/>
      <c r="P11" s="155"/>
    </row>
    <row r="12" spans="1:16" ht="99" customHeight="1" x14ac:dyDescent="0.25">
      <c r="A12" s="41" t="s">
        <v>19</v>
      </c>
      <c r="B12" s="53" t="s">
        <v>249</v>
      </c>
      <c r="C12" s="41" t="s">
        <v>366</v>
      </c>
      <c r="D12" s="41" t="s">
        <v>82</v>
      </c>
      <c r="E12" s="56"/>
      <c r="F12" s="55" t="s">
        <v>45</v>
      </c>
      <c r="G12" s="41"/>
      <c r="H12" s="54" t="s">
        <v>326</v>
      </c>
      <c r="I12" s="54" t="str">
        <f>INDEX(Evalueringskriterier!$R$5:$U$8,MATCH(H12,Evalueringskriterier!$Q$5:$Q$8,0),MATCH(F12,Evalueringskriterier!$R$9:$U$9,0))</f>
        <v>Meget høj</v>
      </c>
      <c r="J12" s="41"/>
      <c r="K12" s="55" t="s">
        <v>45</v>
      </c>
      <c r="L12" s="54" t="s">
        <v>326</v>
      </c>
      <c r="M12" s="54" t="str">
        <f>INDEX(Evalueringskriterier!$R$5:$U$8,MATCH(L12,Evalueringskriterier!$Q$5:$Q$8,0),MATCH(K12,Evalueringskriterier!$R$9:$U$9,0))</f>
        <v>Meget høj</v>
      </c>
      <c r="N12" s="41"/>
      <c r="O12" s="41"/>
      <c r="P12" s="41"/>
    </row>
    <row r="13" spans="1:16" ht="137.25" customHeight="1" x14ac:dyDescent="0.25">
      <c r="A13" s="41" t="s">
        <v>19</v>
      </c>
      <c r="B13" s="53" t="s">
        <v>68</v>
      </c>
      <c r="C13" s="41" t="s">
        <v>366</v>
      </c>
      <c r="D13" s="41" t="s">
        <v>264</v>
      </c>
      <c r="E13" s="58"/>
      <c r="F13" s="55" t="s">
        <v>45</v>
      </c>
      <c r="G13" s="58"/>
      <c r="H13" s="54" t="s">
        <v>326</v>
      </c>
      <c r="I13" s="54" t="str">
        <f>INDEX(Evalueringskriterier!$R$5:$U$8,MATCH(H13,Evalueringskriterier!$Q$5:$Q$8,0),MATCH(F13,Evalueringskriterier!$R$9:$U$9,0))</f>
        <v>Meget høj</v>
      </c>
      <c r="J13" s="41"/>
      <c r="K13" s="55" t="s">
        <v>45</v>
      </c>
      <c r="L13" s="54" t="s">
        <v>326</v>
      </c>
      <c r="M13" s="54" t="str">
        <f>INDEX(Evalueringskriterier!$R$5:$U$8,MATCH(L13,Evalueringskriterier!$Q$5:$Q$8,0),MATCH(K13,Evalueringskriterier!$R$9:$U$9,0))</f>
        <v>Meget høj</v>
      </c>
      <c r="N13" s="58"/>
      <c r="O13" s="58"/>
      <c r="P13" s="58"/>
    </row>
    <row r="14" spans="1:16" ht="99" customHeight="1" x14ac:dyDescent="0.25">
      <c r="A14" s="41" t="s">
        <v>19</v>
      </c>
      <c r="B14" s="53" t="s">
        <v>69</v>
      </c>
      <c r="C14" s="41" t="s">
        <v>366</v>
      </c>
      <c r="D14" s="41" t="s">
        <v>265</v>
      </c>
      <c r="E14" s="41"/>
      <c r="F14" s="55" t="s">
        <v>45</v>
      </c>
      <c r="G14" s="41"/>
      <c r="H14" s="54" t="s">
        <v>326</v>
      </c>
      <c r="I14" s="54" t="str">
        <f>INDEX(Evalueringskriterier!$R$5:$U$8,MATCH(H14,Evalueringskriterier!$Q$5:$Q$8,0),MATCH(F14,Evalueringskriterier!$R$9:$U$9,0))</f>
        <v>Meget høj</v>
      </c>
      <c r="J14" s="41"/>
      <c r="K14" s="55" t="s">
        <v>45</v>
      </c>
      <c r="L14" s="54" t="s">
        <v>326</v>
      </c>
      <c r="M14" s="54" t="str">
        <f>INDEX(Evalueringskriterier!$R$5:$U$8,MATCH(L14,Evalueringskriterier!$Q$5:$Q$8,0),MATCH(K14,Evalueringskriterier!$R$9:$U$9,0))</f>
        <v>Meget høj</v>
      </c>
      <c r="N14" s="54"/>
      <c r="O14" s="54"/>
      <c r="P14" s="54"/>
    </row>
    <row r="15" spans="1:16" ht="126" customHeight="1" x14ac:dyDescent="0.25">
      <c r="A15" s="41" t="s">
        <v>19</v>
      </c>
      <c r="B15" s="53" t="s">
        <v>70</v>
      </c>
      <c r="C15" s="41" t="s">
        <v>367</v>
      </c>
      <c r="D15" s="41" t="s">
        <v>303</v>
      </c>
      <c r="E15" s="41"/>
      <c r="F15" s="55" t="s">
        <v>45</v>
      </c>
      <c r="G15" s="41"/>
      <c r="H15" s="54" t="s">
        <v>326</v>
      </c>
      <c r="I15" s="54" t="str">
        <f>INDEX(Evalueringskriterier!$R$5:$U$8,MATCH(H15,Evalueringskriterier!$Q$5:$Q$8,0),MATCH(F15,Evalueringskriterier!$R$9:$U$9,0))</f>
        <v>Meget høj</v>
      </c>
      <c r="J15" s="41"/>
      <c r="K15" s="55" t="s">
        <v>45</v>
      </c>
      <c r="L15" s="54" t="s">
        <v>326</v>
      </c>
      <c r="M15" s="54" t="str">
        <f>INDEX(Evalueringskriterier!$R$5:$U$8,MATCH(L15,Evalueringskriterier!$Q$5:$Q$8,0),MATCH(K15,Evalueringskriterier!$R$9:$U$9,0))</f>
        <v>Meget høj</v>
      </c>
      <c r="N15" s="41"/>
      <c r="O15" s="41"/>
      <c r="P15" s="41"/>
    </row>
    <row r="16" spans="1:16" ht="99" customHeight="1" x14ac:dyDescent="0.25">
      <c r="A16" s="41" t="s">
        <v>19</v>
      </c>
      <c r="B16" s="53" t="s">
        <v>71</v>
      </c>
      <c r="C16" s="41" t="s">
        <v>390</v>
      </c>
      <c r="D16" s="41" t="s">
        <v>83</v>
      </c>
      <c r="E16" s="41"/>
      <c r="F16" s="55" t="s">
        <v>45</v>
      </c>
      <c r="G16" s="41"/>
      <c r="H16" s="54" t="s">
        <v>326</v>
      </c>
      <c r="I16" s="54" t="str">
        <f>INDEX(Evalueringskriterier!$R$5:$U$8,MATCH(H16,Evalueringskriterier!$Q$5:$Q$8,0),MATCH(F16,Evalueringskriterier!$R$9:$U$9,0))</f>
        <v>Meget høj</v>
      </c>
      <c r="J16" s="41"/>
      <c r="K16" s="55" t="s">
        <v>45</v>
      </c>
      <c r="L16" s="54" t="s">
        <v>326</v>
      </c>
      <c r="M16" s="54" t="str">
        <f>INDEX(Evalueringskriterier!$R$5:$U$8,MATCH(L16,Evalueringskriterier!$Q$5:$Q$8,0),MATCH(K16,Evalueringskriterier!$R$9:$U$9,0))</f>
        <v>Meget høj</v>
      </c>
      <c r="N16" s="41"/>
      <c r="O16" s="41"/>
      <c r="P16" s="41"/>
    </row>
    <row r="17" spans="1:16" s="1" customFormat="1" ht="99" customHeight="1" x14ac:dyDescent="0.25">
      <c r="A17" s="41" t="s">
        <v>19</v>
      </c>
      <c r="B17" s="53" t="s">
        <v>72</v>
      </c>
      <c r="C17" s="41" t="s">
        <v>80</v>
      </c>
      <c r="D17" s="41" t="s">
        <v>84</v>
      </c>
      <c r="E17" s="41"/>
      <c r="F17" s="55" t="s">
        <v>45</v>
      </c>
      <c r="G17" s="41"/>
      <c r="H17" s="54" t="s">
        <v>326</v>
      </c>
      <c r="I17" s="54" t="str">
        <f>INDEX(Evalueringskriterier!$R$5:$U$8,MATCH(H17,Evalueringskriterier!$Q$5:$Q$8,0),MATCH(F17,Evalueringskriterier!$R$9:$U$9,0))</f>
        <v>Meget høj</v>
      </c>
      <c r="J17" s="41"/>
      <c r="K17" s="55" t="s">
        <v>45</v>
      </c>
      <c r="L17" s="54" t="s">
        <v>326</v>
      </c>
      <c r="M17" s="54" t="str">
        <f>INDEX(Evalueringskriterier!$R$5:$U$8,MATCH(L17,Evalueringskriterier!$Q$5:$Q$8,0),MATCH(K17,Evalueringskriterier!$R$9:$U$9,0))</f>
        <v>Meget høj</v>
      </c>
      <c r="N17" s="41"/>
      <c r="O17" s="41"/>
      <c r="P17" s="41"/>
    </row>
    <row r="18" spans="1:16" s="1" customFormat="1" ht="99" customHeight="1" x14ac:dyDescent="0.25">
      <c r="A18" s="41" t="s">
        <v>19</v>
      </c>
      <c r="B18" s="53" t="s">
        <v>73</v>
      </c>
      <c r="C18" s="41" t="s">
        <v>365</v>
      </c>
      <c r="D18" s="41" t="s">
        <v>242</v>
      </c>
      <c r="E18" s="41"/>
      <c r="F18" s="55" t="s">
        <v>45</v>
      </c>
      <c r="G18" s="41"/>
      <c r="H18" s="54" t="s">
        <v>326</v>
      </c>
      <c r="I18" s="54" t="str">
        <f>INDEX(Evalueringskriterier!$R$5:$U$8,MATCH(H18,Evalueringskriterier!$Q$5:$Q$8,0),MATCH(F18,Evalueringskriterier!$R$9:$U$9,0))</f>
        <v>Meget høj</v>
      </c>
      <c r="J18" s="41"/>
      <c r="K18" s="55" t="s">
        <v>45</v>
      </c>
      <c r="L18" s="54" t="s">
        <v>326</v>
      </c>
      <c r="M18" s="54" t="str">
        <f>INDEX(Evalueringskriterier!$R$5:$U$8,MATCH(L18,Evalueringskriterier!$Q$5:$Q$8,0),MATCH(K18,Evalueringskriterier!$R$9:$U$9,0))</f>
        <v>Meget høj</v>
      </c>
      <c r="N18" s="41"/>
      <c r="O18" s="41"/>
      <c r="P18" s="41"/>
    </row>
    <row r="19" spans="1:16" ht="99" customHeight="1" x14ac:dyDescent="0.25">
      <c r="A19" s="41" t="s">
        <v>19</v>
      </c>
      <c r="B19" s="53" t="s">
        <v>74</v>
      </c>
      <c r="C19" s="41" t="s">
        <v>365</v>
      </c>
      <c r="D19" s="41" t="s">
        <v>391</v>
      </c>
      <c r="E19" s="41"/>
      <c r="F19" s="55" t="s">
        <v>45</v>
      </c>
      <c r="G19" s="41"/>
      <c r="H19" s="54" t="s">
        <v>326</v>
      </c>
      <c r="I19" s="54" t="str">
        <f>INDEX(Evalueringskriterier!$R$5:$U$8,MATCH(H19,Evalueringskriterier!$Q$5:$Q$8,0),MATCH(F19,Evalueringskriterier!$R$9:$U$9,0))</f>
        <v>Meget høj</v>
      </c>
      <c r="J19" s="41"/>
      <c r="K19" s="55" t="s">
        <v>45</v>
      </c>
      <c r="L19" s="54" t="s">
        <v>326</v>
      </c>
      <c r="M19" s="54" t="str">
        <f>INDEX(Evalueringskriterier!$R$5:$U$8,MATCH(L19,Evalueringskriterier!$Q$5:$Q$8,0),MATCH(K19,Evalueringskriterier!$R$9:$U$9,0))</f>
        <v>Meget høj</v>
      </c>
      <c r="N19" s="41"/>
      <c r="O19" s="41"/>
      <c r="P19" s="41"/>
    </row>
    <row r="20" spans="1:16" s="1" customFormat="1" ht="30" customHeight="1" x14ac:dyDescent="0.25">
      <c r="A20" s="155" t="s">
        <v>20</v>
      </c>
      <c r="B20" s="155"/>
      <c r="C20" s="155"/>
      <c r="D20" s="155"/>
      <c r="E20" s="155"/>
      <c r="F20" s="155"/>
      <c r="G20" s="155"/>
      <c r="H20" s="155"/>
      <c r="I20" s="155"/>
      <c r="J20" s="155"/>
      <c r="K20" s="155"/>
      <c r="L20" s="155"/>
      <c r="M20" s="155"/>
      <c r="N20" s="155"/>
      <c r="O20" s="155"/>
      <c r="P20" s="155"/>
    </row>
    <row r="21" spans="1:16" ht="144" customHeight="1" x14ac:dyDescent="0.25">
      <c r="A21" s="41" t="s">
        <v>20</v>
      </c>
      <c r="B21" s="53" t="s">
        <v>75</v>
      </c>
      <c r="C21" s="41" t="s">
        <v>366</v>
      </c>
      <c r="D21" s="41" t="s">
        <v>389</v>
      </c>
      <c r="E21" s="41"/>
      <c r="F21" s="55" t="s">
        <v>45</v>
      </c>
      <c r="G21" s="41"/>
      <c r="H21" s="54" t="s">
        <v>326</v>
      </c>
      <c r="I21" s="54" t="str">
        <f>INDEX(Evalueringskriterier!$R$5:$U$8,MATCH(H21,Evalueringskriterier!$Q$5:$Q$8,0),MATCH(F21,Evalueringskriterier!$R$9:$U$9,0))</f>
        <v>Meget høj</v>
      </c>
      <c r="J21" s="41"/>
      <c r="K21" s="55" t="s">
        <v>45</v>
      </c>
      <c r="L21" s="54" t="s">
        <v>326</v>
      </c>
      <c r="M21" s="54" t="str">
        <f>INDEX(Evalueringskriterier!$R$5:$U$8,MATCH(L21,Evalueringskriterier!$Q$5:$Q$8,0),MATCH(K21,Evalueringskriterier!$R$9:$U$9,0))</f>
        <v>Meget høj</v>
      </c>
      <c r="N21" s="41"/>
      <c r="O21" s="41"/>
      <c r="P21" s="41"/>
    </row>
    <row r="22" spans="1:16" ht="152.25" customHeight="1" x14ac:dyDescent="0.25">
      <c r="A22" s="41" t="s">
        <v>20</v>
      </c>
      <c r="B22" s="53" t="s">
        <v>76</v>
      </c>
      <c r="C22" s="41" t="s">
        <v>366</v>
      </c>
      <c r="D22" s="41" t="s">
        <v>266</v>
      </c>
      <c r="E22" s="41"/>
      <c r="F22" s="55" t="s">
        <v>45</v>
      </c>
      <c r="G22" s="41"/>
      <c r="H22" s="54" t="s">
        <v>326</v>
      </c>
      <c r="I22" s="54" t="str">
        <f>INDEX(Evalueringskriterier!$R$5:$U$8,MATCH(H22,Evalueringskriterier!$Q$5:$Q$8,0),MATCH(F22,Evalueringskriterier!$R$9:$U$9,0))</f>
        <v>Meget høj</v>
      </c>
      <c r="J22" s="41"/>
      <c r="K22" s="55" t="s">
        <v>45</v>
      </c>
      <c r="L22" s="54" t="s">
        <v>326</v>
      </c>
      <c r="M22" s="54" t="str">
        <f>INDEX(Evalueringskriterier!$R$5:$U$8,MATCH(L22,Evalueringskriterier!$Q$5:$Q$8,0),MATCH(K22,Evalueringskriterier!$R$9:$U$9,0))</f>
        <v>Meget høj</v>
      </c>
      <c r="N22" s="41"/>
      <c r="O22" s="41"/>
      <c r="P22" s="41"/>
    </row>
    <row r="23" spans="1:16" ht="99" customHeight="1" x14ac:dyDescent="0.25">
      <c r="A23" s="41" t="s">
        <v>20</v>
      </c>
      <c r="B23" s="53" t="s">
        <v>77</v>
      </c>
      <c r="C23" s="41" t="s">
        <v>372</v>
      </c>
      <c r="D23" s="41" t="s">
        <v>85</v>
      </c>
      <c r="E23" s="41"/>
      <c r="F23" s="55" t="s">
        <v>45</v>
      </c>
      <c r="G23" s="41"/>
      <c r="H23" s="54" t="s">
        <v>326</v>
      </c>
      <c r="I23" s="54" t="str">
        <f>INDEX(Evalueringskriterier!$R$5:$U$8,MATCH(H23,Evalueringskriterier!$Q$5:$Q$8,0),MATCH(F23,Evalueringskriterier!$R$9:$U$9,0))</f>
        <v>Meget høj</v>
      </c>
      <c r="J23" s="41"/>
      <c r="K23" s="55" t="s">
        <v>45</v>
      </c>
      <c r="L23" s="54" t="s">
        <v>326</v>
      </c>
      <c r="M23" s="54" t="str">
        <f>INDEX(Evalueringskriterier!$R$5:$U$8,MATCH(L23,Evalueringskriterier!$Q$5:$Q$8,0),MATCH(K23,Evalueringskriterier!$R$9:$U$9,0))</f>
        <v>Meget høj</v>
      </c>
      <c r="N23" s="41"/>
      <c r="O23" s="41"/>
      <c r="P23" s="41"/>
    </row>
    <row r="24" spans="1:16" s="1" customFormat="1" ht="99" customHeight="1" x14ac:dyDescent="0.25">
      <c r="A24" s="41" t="s">
        <v>20</v>
      </c>
      <c r="B24" s="53" t="s">
        <v>78</v>
      </c>
      <c r="C24" s="41" t="s">
        <v>138</v>
      </c>
      <c r="D24" s="41" t="s">
        <v>202</v>
      </c>
      <c r="E24" s="41"/>
      <c r="F24" s="55" t="s">
        <v>45</v>
      </c>
      <c r="G24" s="41"/>
      <c r="H24" s="54" t="s">
        <v>326</v>
      </c>
      <c r="I24" s="54" t="str">
        <f>INDEX(Evalueringskriterier!$R$5:$U$8,MATCH(H24,Evalueringskriterier!$Q$5:$Q$8,0),MATCH(F24,Evalueringskriterier!$R$9:$U$9,0))</f>
        <v>Meget høj</v>
      </c>
      <c r="J24" s="41"/>
      <c r="K24" s="55" t="s">
        <v>45</v>
      </c>
      <c r="L24" s="54" t="s">
        <v>326</v>
      </c>
      <c r="M24" s="54" t="str">
        <f>INDEX(Evalueringskriterier!$R$5:$U$8,MATCH(L24,Evalueringskriterier!$Q$5:$Q$8,0),MATCH(K24,Evalueringskriterier!$R$9:$U$9,0))</f>
        <v>Meget høj</v>
      </c>
      <c r="N24" s="41"/>
      <c r="O24" s="41"/>
      <c r="P24" s="41"/>
    </row>
    <row r="25" spans="1:16" ht="99" customHeight="1" x14ac:dyDescent="0.25">
      <c r="A25" s="41" t="s">
        <v>20</v>
      </c>
      <c r="B25" s="53" t="s">
        <v>137</v>
      </c>
      <c r="C25" s="41" t="s">
        <v>365</v>
      </c>
      <c r="D25" s="41" t="s">
        <v>86</v>
      </c>
      <c r="E25" s="41"/>
      <c r="F25" s="55" t="s">
        <v>45</v>
      </c>
      <c r="G25" s="41"/>
      <c r="H25" s="54" t="s">
        <v>326</v>
      </c>
      <c r="I25" s="54" t="str">
        <f>INDEX(Evalueringskriterier!$R$5:$U$8,MATCH(H25,Evalueringskriterier!$Q$5:$Q$8,0),MATCH(F25,Evalueringskriterier!$R$9:$U$9,0))</f>
        <v>Meget høj</v>
      </c>
      <c r="J25" s="41"/>
      <c r="K25" s="55" t="s">
        <v>45</v>
      </c>
      <c r="L25" s="54" t="s">
        <v>326</v>
      </c>
      <c r="M25" s="54" t="str">
        <f>INDEX(Evalueringskriterier!$R$5:$U$8,MATCH(L25,Evalueringskriterier!$Q$5:$Q$8,0),MATCH(K25,Evalueringskriterier!$R$9:$U$9,0))</f>
        <v>Meget høj</v>
      </c>
      <c r="N25" s="41"/>
      <c r="O25" s="41"/>
      <c r="P25" s="41"/>
    </row>
    <row r="26" spans="1:16" ht="99" customHeight="1" x14ac:dyDescent="0.25">
      <c r="A26" s="41" t="s">
        <v>20</v>
      </c>
      <c r="B26" s="53" t="s">
        <v>239</v>
      </c>
      <c r="C26" s="41" t="s">
        <v>368</v>
      </c>
      <c r="D26" s="41" t="s">
        <v>87</v>
      </c>
      <c r="E26" s="41"/>
      <c r="F26" s="55" t="s">
        <v>45</v>
      </c>
      <c r="G26" s="41"/>
      <c r="H26" s="54" t="s">
        <v>326</v>
      </c>
      <c r="I26" s="54" t="str">
        <f>INDEX(Evalueringskriterier!$R$5:$U$8,MATCH(H26,Evalueringskriterier!$Q$5:$Q$8,0),MATCH(F26,Evalueringskriterier!$R$9:$U$9,0))</f>
        <v>Meget høj</v>
      </c>
      <c r="J26" s="41"/>
      <c r="K26" s="55" t="s">
        <v>45</v>
      </c>
      <c r="L26" s="54" t="s">
        <v>326</v>
      </c>
      <c r="M26" s="54" t="str">
        <f>INDEX(Evalueringskriterier!$R$5:$U$8,MATCH(L26,Evalueringskriterier!$Q$5:$Q$8,0),MATCH(K26,Evalueringskriterier!$R$9:$U$9,0))</f>
        <v>Meget høj</v>
      </c>
      <c r="N26" s="41"/>
      <c r="O26" s="41"/>
      <c r="P26" s="41"/>
    </row>
    <row r="27" spans="1:16" ht="153" customHeight="1" x14ac:dyDescent="0.25">
      <c r="A27" s="41" t="s">
        <v>20</v>
      </c>
      <c r="B27" s="53" t="s">
        <v>246</v>
      </c>
      <c r="C27" s="41" t="s">
        <v>79</v>
      </c>
      <c r="D27" s="41" t="s">
        <v>267</v>
      </c>
      <c r="E27" s="58"/>
      <c r="F27" s="55" t="s">
        <v>45</v>
      </c>
      <c r="G27" s="58"/>
      <c r="H27" s="54" t="s">
        <v>326</v>
      </c>
      <c r="I27" s="54" t="str">
        <f>INDEX(Evalueringskriterier!$R$5:$U$8,MATCH(H27,Evalueringskriterier!$Q$5:$Q$8,0),MATCH(F27,Evalueringskriterier!$R$9:$U$9,0))</f>
        <v>Meget høj</v>
      </c>
      <c r="J27" s="41"/>
      <c r="K27" s="55" t="s">
        <v>45</v>
      </c>
      <c r="L27" s="54" t="s">
        <v>326</v>
      </c>
      <c r="M27" s="54" t="str">
        <f>INDEX(Evalueringskriterier!$R$5:$U$8,MATCH(L27,Evalueringskriterier!$Q$5:$Q$8,0),MATCH(K27,Evalueringskriterier!$R$9:$U$9,0))</f>
        <v>Meget høj</v>
      </c>
      <c r="N27" s="58"/>
      <c r="O27" s="58"/>
      <c r="P27" s="58"/>
    </row>
    <row r="28" spans="1:16" s="1" customFormat="1" ht="30" customHeight="1" x14ac:dyDescent="0.25">
      <c r="A28" s="155" t="s">
        <v>21</v>
      </c>
      <c r="B28" s="155"/>
      <c r="C28" s="155"/>
      <c r="D28" s="155"/>
      <c r="E28" s="155"/>
      <c r="F28" s="155"/>
      <c r="G28" s="155"/>
      <c r="H28" s="155"/>
      <c r="I28" s="155"/>
      <c r="J28" s="155"/>
      <c r="K28" s="155"/>
      <c r="L28" s="155"/>
      <c r="M28" s="155"/>
      <c r="N28" s="155"/>
      <c r="O28" s="155"/>
      <c r="P28" s="155"/>
    </row>
    <row r="29" spans="1:16" ht="99" customHeight="1" x14ac:dyDescent="0.25">
      <c r="A29" s="41" t="s">
        <v>21</v>
      </c>
      <c r="B29" s="53" t="s">
        <v>305</v>
      </c>
      <c r="C29" s="41" t="s">
        <v>366</v>
      </c>
      <c r="D29" s="41" t="s">
        <v>304</v>
      </c>
      <c r="E29" s="41"/>
      <c r="F29" s="55" t="s">
        <v>45</v>
      </c>
      <c r="G29" s="41"/>
      <c r="H29" s="54" t="s">
        <v>326</v>
      </c>
      <c r="I29" s="54" t="str">
        <f>INDEX(Evalueringskriterier!$R$5:$U$8,MATCH(H29,Evalueringskriterier!$Q$5:$Q$8,0),MATCH(F29,Evalueringskriterier!$R$9:$U$9,0))</f>
        <v>Meget høj</v>
      </c>
      <c r="J29" s="41"/>
      <c r="K29" s="55" t="s">
        <v>45</v>
      </c>
      <c r="L29" s="54" t="s">
        <v>326</v>
      </c>
      <c r="M29" s="54" t="str">
        <f>INDEX(Evalueringskriterier!$R$5:$U$8,MATCH(L29,Evalueringskriterier!$Q$5:$Q$8,0),MATCH(K29,Evalueringskriterier!$R$9:$U$9,0))</f>
        <v>Meget høj</v>
      </c>
      <c r="N29" s="41"/>
      <c r="O29" s="41"/>
      <c r="P29" s="41"/>
    </row>
    <row r="30" spans="1:16" s="1" customFormat="1" ht="99" customHeight="1" x14ac:dyDescent="0.25">
      <c r="A30" s="41" t="s">
        <v>21</v>
      </c>
      <c r="B30" s="53" t="s">
        <v>306</v>
      </c>
      <c r="C30" s="41" t="s">
        <v>369</v>
      </c>
      <c r="D30" s="41" t="s">
        <v>388</v>
      </c>
      <c r="E30" s="41"/>
      <c r="F30" s="55" t="s">
        <v>45</v>
      </c>
      <c r="G30" s="41"/>
      <c r="H30" s="54" t="s">
        <v>326</v>
      </c>
      <c r="I30" s="54" t="str">
        <f>INDEX(Evalueringskriterier!$R$5:$U$8,MATCH(H30,Evalueringskriterier!$Q$5:$Q$8,0),MATCH(F30,Evalueringskriterier!$R$9:$U$9,0))</f>
        <v>Meget høj</v>
      </c>
      <c r="J30" s="41"/>
      <c r="K30" s="55" t="s">
        <v>45</v>
      </c>
      <c r="L30" s="54" t="s">
        <v>326</v>
      </c>
      <c r="M30" s="54" t="str">
        <f>INDEX(Evalueringskriterier!$R$5:$U$8,MATCH(L30,Evalueringskriterier!$Q$5:$Q$8,0),MATCH(K30,Evalueringskriterier!$R$9:$U$9,0))</f>
        <v>Meget høj</v>
      </c>
      <c r="N30" s="41"/>
      <c r="O30" s="41"/>
      <c r="P30" s="41"/>
    </row>
    <row r="31" spans="1:16" ht="99" customHeight="1" x14ac:dyDescent="0.25">
      <c r="A31" s="41" t="s">
        <v>21</v>
      </c>
      <c r="B31" s="53" t="s">
        <v>307</v>
      </c>
      <c r="C31" s="41" t="s">
        <v>365</v>
      </c>
      <c r="D31" s="41" t="s">
        <v>248</v>
      </c>
      <c r="E31" s="41"/>
      <c r="F31" s="55" t="s">
        <v>45</v>
      </c>
      <c r="G31" s="41"/>
      <c r="H31" s="54" t="s">
        <v>326</v>
      </c>
      <c r="I31" s="54" t="str">
        <f>INDEX(Evalueringskriterier!$R$5:$U$8,MATCH(H31,Evalueringskriterier!$Q$5:$Q$8,0),MATCH(F31,Evalueringskriterier!$R$9:$U$9,0))</f>
        <v>Meget høj</v>
      </c>
      <c r="J31" s="41"/>
      <c r="K31" s="55" t="s">
        <v>45</v>
      </c>
      <c r="L31" s="54" t="s">
        <v>326</v>
      </c>
      <c r="M31" s="54" t="str">
        <f>INDEX(Evalueringskriterier!$R$5:$U$8,MATCH(L31,Evalueringskriterier!$Q$5:$Q$8,0),MATCH(K31,Evalueringskriterier!$R$9:$U$9,0))</f>
        <v>Meget høj</v>
      </c>
      <c r="N31" s="41"/>
      <c r="O31" s="41"/>
      <c r="P31" s="41"/>
    </row>
    <row r="32" spans="1:16" s="1" customFormat="1" ht="99" customHeight="1" x14ac:dyDescent="0.25">
      <c r="A32" s="41" t="s">
        <v>21</v>
      </c>
      <c r="B32" s="53" t="s">
        <v>308</v>
      </c>
      <c r="C32" s="41" t="s">
        <v>365</v>
      </c>
      <c r="D32" s="41" t="s">
        <v>247</v>
      </c>
      <c r="E32" s="41"/>
      <c r="F32" s="55" t="s">
        <v>45</v>
      </c>
      <c r="G32" s="41"/>
      <c r="H32" s="54" t="s">
        <v>326</v>
      </c>
      <c r="I32" s="54" t="str">
        <f>INDEX(Evalueringskriterier!$R$5:$U$8,MATCH(H32,Evalueringskriterier!$Q$5:$Q$8,0),MATCH(F32,Evalueringskriterier!$R$9:$U$9,0))</f>
        <v>Meget høj</v>
      </c>
      <c r="J32" s="41"/>
      <c r="K32" s="55" t="s">
        <v>45</v>
      </c>
      <c r="L32" s="54" t="s">
        <v>326</v>
      </c>
      <c r="M32" s="54" t="str">
        <f>INDEX(Evalueringskriterier!$R$5:$U$8,MATCH(L32,Evalueringskriterier!$Q$5:$Q$8,0),MATCH(K32,Evalueringskriterier!$R$9:$U$9,0))</f>
        <v>Meget høj</v>
      </c>
      <c r="N32" s="41"/>
      <c r="O32" s="41"/>
      <c r="P32" s="41"/>
    </row>
    <row r="33" spans="1:16" s="1" customFormat="1" ht="99" customHeight="1" x14ac:dyDescent="0.25">
      <c r="A33" s="41" t="s">
        <v>21</v>
      </c>
      <c r="B33" s="53" t="s">
        <v>309</v>
      </c>
      <c r="C33" s="41" t="s">
        <v>365</v>
      </c>
      <c r="D33" s="41" t="s">
        <v>327</v>
      </c>
      <c r="E33" s="41"/>
      <c r="F33" s="55" t="s">
        <v>45</v>
      </c>
      <c r="G33" s="41"/>
      <c r="H33" s="54" t="s">
        <v>326</v>
      </c>
      <c r="I33" s="54" t="str">
        <f>INDEX(Evalueringskriterier!$R$5:$U$8,MATCH(H33,Evalueringskriterier!$Q$5:$Q$8,0),MATCH(F33,Evalueringskriterier!$R$9:$U$9,0))</f>
        <v>Meget høj</v>
      </c>
      <c r="J33" s="41"/>
      <c r="K33" s="55" t="s">
        <v>45</v>
      </c>
      <c r="L33" s="54" t="s">
        <v>326</v>
      </c>
      <c r="M33" s="54" t="str">
        <f>INDEX(Evalueringskriterier!$R$5:$U$8,MATCH(L33,Evalueringskriterier!$Q$5:$Q$8,0),MATCH(K33,Evalueringskriterier!$R$9:$U$9,0))</f>
        <v>Meget høj</v>
      </c>
      <c r="N33" s="41"/>
      <c r="O33" s="41"/>
      <c r="P33" s="41"/>
    </row>
    <row r="34" spans="1:16" s="1" customFormat="1" ht="87.75" customHeight="1" x14ac:dyDescent="0.25">
      <c r="A34" s="41" t="s">
        <v>21</v>
      </c>
      <c r="B34" s="53" t="s">
        <v>310</v>
      </c>
      <c r="C34" s="41" t="s">
        <v>365</v>
      </c>
      <c r="D34" s="41" t="s">
        <v>244</v>
      </c>
      <c r="E34" s="41"/>
      <c r="F34" s="55" t="s">
        <v>45</v>
      </c>
      <c r="G34" s="41"/>
      <c r="H34" s="54" t="s">
        <v>326</v>
      </c>
      <c r="I34" s="54" t="str">
        <f>INDEX(Evalueringskriterier!$R$5:$U$8,MATCH(H34,Evalueringskriterier!$Q$5:$Q$8,0),MATCH(F34,Evalueringskriterier!$R$9:$U$9,0))</f>
        <v>Meget høj</v>
      </c>
      <c r="J34" s="41"/>
      <c r="K34" s="55" t="s">
        <v>45</v>
      </c>
      <c r="L34" s="54" t="s">
        <v>326</v>
      </c>
      <c r="M34" s="54" t="str">
        <f>INDEX(Evalueringskriterier!$R$5:$U$8,MATCH(L34,Evalueringskriterier!$Q$5:$Q$8,0),MATCH(K34,Evalueringskriterier!$R$9:$U$9,0))</f>
        <v>Meget høj</v>
      </c>
      <c r="N34" s="41"/>
      <c r="O34" s="41"/>
      <c r="P34" s="41"/>
    </row>
    <row r="35" spans="1:16" s="1" customFormat="1" ht="99" customHeight="1" x14ac:dyDescent="0.25">
      <c r="A35" s="41" t="s">
        <v>21</v>
      </c>
      <c r="B35" s="53" t="s">
        <v>311</v>
      </c>
      <c r="C35" s="41" t="s">
        <v>365</v>
      </c>
      <c r="D35" s="41" t="s">
        <v>245</v>
      </c>
      <c r="E35" s="41"/>
      <c r="F35" s="55" t="s">
        <v>45</v>
      </c>
      <c r="G35" s="41"/>
      <c r="H35" s="54" t="s">
        <v>326</v>
      </c>
      <c r="I35" s="54" t="str">
        <f>INDEX(Evalueringskriterier!$R$5:$U$8,MATCH(H35,Evalueringskriterier!$Q$5:$Q$8,0),MATCH(F35,Evalueringskriterier!$R$9:$U$9,0))</f>
        <v>Meget høj</v>
      </c>
      <c r="J35" s="41"/>
      <c r="K35" s="55" t="s">
        <v>45</v>
      </c>
      <c r="L35" s="54" t="s">
        <v>326</v>
      </c>
      <c r="M35" s="54" t="str">
        <f>INDEX(Evalueringskriterier!$R$5:$U$8,MATCH(L35,Evalueringskriterier!$Q$5:$Q$8,0),MATCH(K35,Evalueringskriterier!$R$9:$U$9,0))</f>
        <v>Meget høj</v>
      </c>
      <c r="N35" s="41"/>
      <c r="O35" s="41"/>
      <c r="P35" s="41"/>
    </row>
    <row r="36" spans="1:16" ht="99" customHeight="1" x14ac:dyDescent="0.25">
      <c r="A36" s="41" t="s">
        <v>21</v>
      </c>
      <c r="B36" s="53" t="s">
        <v>312</v>
      </c>
      <c r="C36" s="41" t="s">
        <v>370</v>
      </c>
      <c r="D36" s="41" t="s">
        <v>88</v>
      </c>
      <c r="E36" s="41"/>
      <c r="F36" s="55" t="s">
        <v>45</v>
      </c>
      <c r="G36" s="41"/>
      <c r="H36" s="54" t="s">
        <v>326</v>
      </c>
      <c r="I36" s="54" t="str">
        <f>INDEX(Evalueringskriterier!$R$5:$U$8,MATCH(H36,Evalueringskriterier!$Q$5:$Q$8,0),MATCH(F36,Evalueringskriterier!$R$9:$U$9,0))</f>
        <v>Meget høj</v>
      </c>
      <c r="J36" s="41"/>
      <c r="K36" s="55" t="s">
        <v>45</v>
      </c>
      <c r="L36" s="54" t="s">
        <v>326</v>
      </c>
      <c r="M36" s="54" t="str">
        <f>INDEX(Evalueringskriterier!$R$5:$U$8,MATCH(L36,Evalueringskriterier!$Q$5:$Q$8,0),MATCH(K36,Evalueringskriterier!$R$9:$U$9,0))</f>
        <v>Meget høj</v>
      </c>
      <c r="N36" s="41"/>
      <c r="O36" s="41"/>
      <c r="P36" s="41"/>
    </row>
    <row r="37" spans="1:16" s="1" customFormat="1" ht="99" customHeight="1" x14ac:dyDescent="0.25">
      <c r="A37" s="41" t="s">
        <v>21</v>
      </c>
      <c r="B37" s="53" t="s">
        <v>328</v>
      </c>
      <c r="C37" s="41" t="s">
        <v>371</v>
      </c>
      <c r="D37" s="41" t="s">
        <v>136</v>
      </c>
      <c r="E37" s="41"/>
      <c r="F37" s="55" t="s">
        <v>45</v>
      </c>
      <c r="G37" s="41"/>
      <c r="H37" s="54" t="s">
        <v>326</v>
      </c>
      <c r="I37" s="54" t="str">
        <f>INDEX(Evalueringskriterier!$R$5:$U$8,MATCH(H37,Evalueringskriterier!$Q$5:$Q$8,0),MATCH(F37,Evalueringskriterier!$R$9:$U$9,0))</f>
        <v>Meget høj</v>
      </c>
      <c r="J37" s="41"/>
      <c r="K37" s="55" t="s">
        <v>45</v>
      </c>
      <c r="L37" s="54" t="s">
        <v>326</v>
      </c>
      <c r="M37" s="54" t="str">
        <f>INDEX(Evalueringskriterier!$R$5:$U$8,MATCH(L37,Evalueringskriterier!$Q$5:$Q$8,0),MATCH(K37,Evalueringskriterier!$R$9:$U$9,0))</f>
        <v>Meget høj</v>
      </c>
      <c r="N37" s="41"/>
      <c r="O37" s="41"/>
      <c r="P37" s="41"/>
    </row>
    <row r="38" spans="1:16" ht="162" customHeight="1" x14ac:dyDescent="0.25">
      <c r="A38" s="41" t="s">
        <v>21</v>
      </c>
      <c r="B38" s="53" t="s">
        <v>329</v>
      </c>
      <c r="C38" s="41" t="s">
        <v>79</v>
      </c>
      <c r="D38" s="41" t="s">
        <v>124</v>
      </c>
      <c r="E38" s="41"/>
      <c r="F38" s="55" t="s">
        <v>45</v>
      </c>
      <c r="G38" s="41"/>
      <c r="H38" s="54" t="s">
        <v>326</v>
      </c>
      <c r="I38" s="54" t="str">
        <f>INDEX(Evalueringskriterier!$R$5:$U$8,MATCH(H38,Evalueringskriterier!$Q$5:$Q$8,0),MATCH(F38,Evalueringskriterier!$R$9:$U$9,0))</f>
        <v>Meget høj</v>
      </c>
      <c r="J38" s="41"/>
      <c r="K38" s="55" t="s">
        <v>45</v>
      </c>
      <c r="L38" s="54" t="s">
        <v>326</v>
      </c>
      <c r="M38" s="54" t="str">
        <f>INDEX(Evalueringskriterier!$R$5:$U$8,MATCH(L38,Evalueringskriterier!$Q$5:$Q$8,0),MATCH(K38,Evalueringskriterier!$R$9:$U$9,0))</f>
        <v>Meget høj</v>
      </c>
      <c r="N38" s="41"/>
      <c r="O38" s="41"/>
      <c r="P38" s="41"/>
    </row>
  </sheetData>
  <mergeCells count="8">
    <mergeCell ref="A20:N20"/>
    <mergeCell ref="O20:P20"/>
    <mergeCell ref="A28:N28"/>
    <mergeCell ref="O28:P28"/>
    <mergeCell ref="A2:N2"/>
    <mergeCell ref="O2:P2"/>
    <mergeCell ref="A11:N11"/>
    <mergeCell ref="O11:P11"/>
  </mergeCells>
  <conditionalFormatting sqref="I3:I10 I21:I27 M21:M27 I12:I19 M12:M19 I29:I38 M29:M38">
    <cfRule type="cellIs" dxfId="19" priority="13" operator="equal">
      <formula>"Lav"</formula>
    </cfRule>
    <cfRule type="cellIs" dxfId="18" priority="14" operator="equal">
      <formula>"Mellem"</formula>
    </cfRule>
    <cfRule type="cellIs" dxfId="17" priority="15" operator="equal">
      <formula>"Høj"</formula>
    </cfRule>
    <cfRule type="cellIs" dxfId="16" priority="16" operator="equal">
      <formula>"Meget høj"</formula>
    </cfRule>
  </conditionalFormatting>
  <conditionalFormatting sqref="M3:M10">
    <cfRule type="cellIs" dxfId="15" priority="1" operator="equal">
      <formula>"Lav"</formula>
    </cfRule>
    <cfRule type="cellIs" dxfId="14" priority="2" operator="equal">
      <formula>"Mellem"</formula>
    </cfRule>
    <cfRule type="cellIs" dxfId="13" priority="3" operator="equal">
      <formula>"Høj"</formula>
    </cfRule>
    <cfRule type="cellIs" dxfId="12" priority="4" operator="equal">
      <formula>"Meget høj"</formula>
    </cfRule>
  </conditionalFormatting>
  <pageMargins left="0.25" right="0.25" top="0.75" bottom="0.75" header="0.3" footer="0.3"/>
  <pageSetup paperSize="8" scale="52" fitToHeight="0" orientation="landscape" r:id="rId1"/>
  <extLst>
    <ext xmlns:x14="http://schemas.microsoft.com/office/spreadsheetml/2009/9/main" uri="{78C0D931-6437-407d-A8EE-F0AAD7539E65}">
      <x14:conditionalFormattings>
        <x14:conditionalFormatting xmlns:xm="http://schemas.microsoft.com/office/excel/2006/main">
          <x14:cfRule type="cellIs" priority="17" operator="equal" id="{5BF118F5-E1E3-4559-9C8B-30D2CDF44F91}">
            <xm:f>Evalueringskriterier!$M$7</xm:f>
            <x14:dxf>
              <fill>
                <patternFill>
                  <bgColor rgb="FFFFFF00"/>
                </patternFill>
              </fill>
            </x14:dxf>
          </x14:cfRule>
          <x14:cfRule type="cellIs" priority="18" operator="equal" id="{EDFCC67C-752C-4BE9-A84C-F6CD713B58F0}">
            <xm:f>Evalueringskriterier!$M$9</xm:f>
            <x14:dxf>
              <font>
                <color theme="0"/>
              </font>
              <fill>
                <patternFill>
                  <bgColor rgb="FFFF0000"/>
                </patternFill>
              </fill>
            </x14:dxf>
          </x14:cfRule>
          <x14:cfRule type="cellIs" priority="19" operator="equal" id="{03FA0E26-E97A-47F6-8E88-CAAED4C3B9F1}">
            <xm:f>Evalueringskriterier!$M$6</xm:f>
            <x14:dxf>
              <fill>
                <patternFill>
                  <bgColor rgb="FF92D050"/>
                </patternFill>
              </fill>
            </x14:dxf>
          </x14:cfRule>
          <x14:cfRule type="cellIs" priority="20" operator="equal" id="{DF044D5B-8C96-45E7-9FF4-65FD3E36C905}">
            <xm:f>Evalueringskriterier!$I$8</xm:f>
            <x14:dxf>
              <fill>
                <patternFill>
                  <bgColor rgb="FFFFC000"/>
                </patternFill>
              </fill>
            </x14:dxf>
          </x14:cfRule>
          <xm:sqref>F3:F10 F12:F19 F21:F27 F29:F38 H3:H10 H12:H19 H21:H27 H29:H38 K12:L19 K21:L27 K29:L38</xm:sqref>
        </x14:conditionalFormatting>
        <x14:conditionalFormatting xmlns:xm="http://schemas.microsoft.com/office/excel/2006/main">
          <x14:cfRule type="cellIs" priority="9" operator="equal" id="{104E3240-5DDD-496D-82E4-6A5B43AE1C1B}">
            <xm:f>Evalueringskriterier!$M$7</xm:f>
            <x14:dxf>
              <fill>
                <patternFill>
                  <bgColor rgb="FFFFFF00"/>
                </patternFill>
              </fill>
            </x14:dxf>
          </x14:cfRule>
          <x14:cfRule type="cellIs" priority="10" operator="equal" id="{DB02496A-2F88-4565-B1A8-33126AC30EDE}">
            <xm:f>Evalueringskriterier!$M$9</xm:f>
            <x14:dxf>
              <font>
                <color theme="0"/>
              </font>
              <fill>
                <patternFill>
                  <bgColor rgb="FFFF0000"/>
                </patternFill>
              </fill>
            </x14:dxf>
          </x14:cfRule>
          <x14:cfRule type="cellIs" priority="11" operator="equal" id="{055155DB-0EE7-4C5A-A478-3DA6D154B6F5}">
            <xm:f>Evalueringskriterier!$M$6</xm:f>
            <x14:dxf>
              <fill>
                <patternFill>
                  <bgColor rgb="FF92D050"/>
                </patternFill>
              </fill>
            </x14:dxf>
          </x14:cfRule>
          <x14:cfRule type="cellIs" priority="12" operator="equal" id="{5AB0AAF5-7808-4144-94F0-86AF06E3DE9E}">
            <xm:f>Evalueringskriterier!$I$8</xm:f>
            <x14:dxf>
              <fill>
                <patternFill>
                  <bgColor rgb="FFFFC000"/>
                </patternFill>
              </fill>
            </x14:dxf>
          </x14:cfRule>
          <xm:sqref>K3:K10</xm:sqref>
        </x14:conditionalFormatting>
        <x14:conditionalFormatting xmlns:xm="http://schemas.microsoft.com/office/excel/2006/main">
          <x14:cfRule type="cellIs" priority="5" operator="equal" id="{8956AF71-1441-4F0F-BF44-23821667BD11}">
            <xm:f>Evalueringskriterier!$M$7</xm:f>
            <x14:dxf>
              <fill>
                <patternFill>
                  <bgColor rgb="FFFFFF00"/>
                </patternFill>
              </fill>
            </x14:dxf>
          </x14:cfRule>
          <x14:cfRule type="cellIs" priority="6" operator="equal" id="{7A56918F-F1A5-4647-89B5-4C65770D0301}">
            <xm:f>Evalueringskriterier!$M$9</xm:f>
            <x14:dxf>
              <font>
                <color theme="0"/>
              </font>
              <fill>
                <patternFill>
                  <bgColor rgb="FFFF0000"/>
                </patternFill>
              </fill>
            </x14:dxf>
          </x14:cfRule>
          <x14:cfRule type="cellIs" priority="7" operator="equal" id="{992804EE-77F4-4782-9EBE-C550BA3CE30C}">
            <xm:f>Evalueringskriterier!$M$6</xm:f>
            <x14:dxf>
              <fill>
                <patternFill>
                  <bgColor rgb="FF92D050"/>
                </patternFill>
              </fill>
            </x14:dxf>
          </x14:cfRule>
          <x14:cfRule type="cellIs" priority="8" operator="equal" id="{C788C2FA-5048-4EAC-A6F5-19A7B12FDC72}">
            <xm:f>Evalueringskriterier!$I$8</xm:f>
            <x14:dxf>
              <fill>
                <patternFill>
                  <bgColor rgb="FFFFC000"/>
                </patternFill>
              </fill>
            </x14:dxf>
          </x14:cfRule>
          <xm:sqref>L3:L10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4540C1F4-7A51-4E83-833C-5F25EA3F6A89}">
          <x14:formula1>
            <xm:f>Evalueringskriterier!$N$6:$N$9</xm:f>
          </x14:formula1>
          <xm:sqref>L21:L27 L3:L10 H3:H10 H12:H19 L12:L19 H29:H38 H21:H27 L29:L38</xm:sqref>
        </x14:dataValidation>
        <x14:dataValidation type="list" allowBlank="1" showInputMessage="1" showErrorMessage="1" xr:uid="{EE3300F1-87DE-45F0-A9AA-7BB5ED6BBFC4}">
          <x14:formula1>
            <xm:f>Evalueringskriterier!$J$6:$J$9</xm:f>
          </x14:formula1>
          <xm:sqref>F29:F38 K21:K27 K12:K19 F12:F19 F3:F10 K3:K10 F21:F27 K29:K38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8865-FF6B-41D2-B9FD-3794E0F2AC52}">
  <sheetPr>
    <pageSetUpPr fitToPage="1"/>
  </sheetPr>
  <dimension ref="A1:H111"/>
  <sheetViews>
    <sheetView topLeftCell="A106" zoomScaleNormal="100" workbookViewId="0">
      <selection activeCell="D112" sqref="D112"/>
    </sheetView>
  </sheetViews>
  <sheetFormatPr defaultRowHeight="15" x14ac:dyDescent="0.25"/>
  <cols>
    <col min="1" max="1" width="16.7109375" style="36" customWidth="1"/>
    <col min="2" max="2" width="31.85546875" style="35" customWidth="1"/>
    <col min="3" max="3" width="57.5703125" style="20" customWidth="1"/>
    <col min="4" max="4" width="114" style="20" customWidth="1"/>
    <col min="5" max="16384" width="9.140625" style="20"/>
  </cols>
  <sheetData>
    <row r="1" spans="1:4" ht="72" customHeight="1" x14ac:dyDescent="0.25">
      <c r="A1" s="38" t="s">
        <v>313</v>
      </c>
      <c r="B1" s="38" t="s">
        <v>1</v>
      </c>
      <c r="C1" s="38" t="s">
        <v>8</v>
      </c>
      <c r="D1" s="38" t="s">
        <v>90</v>
      </c>
    </row>
    <row r="2" spans="1:4" ht="30" customHeight="1" x14ac:dyDescent="0.25">
      <c r="A2" s="155" t="str">
        <f>Risici!A2</f>
        <v>Afgrænsning af business og use case</v>
      </c>
      <c r="B2" s="155"/>
      <c r="C2" s="155"/>
      <c r="D2" s="155"/>
    </row>
    <row r="3" spans="1:4" ht="52.5" customHeight="1" x14ac:dyDescent="0.25">
      <c r="A3" s="161" t="str">
        <f>Risici!B3</f>
        <v>3.1</v>
      </c>
      <c r="B3" s="160" t="str">
        <f>Risici!C3</f>
        <v xml:space="preserve">Ansvarlighed
Artikel 5, stk. 2, 35 og 36 samt betragtning nr. 74-77, 84, 89-92, 94 og 95. </v>
      </c>
      <c r="C3" s="160" t="s">
        <v>203</v>
      </c>
      <c r="D3" s="39" t="s">
        <v>212</v>
      </c>
    </row>
    <row r="4" spans="1:4" ht="51" customHeight="1" x14ac:dyDescent="0.25">
      <c r="A4" s="161"/>
      <c r="B4" s="160"/>
      <c r="C4" s="160"/>
      <c r="D4" s="39" t="s">
        <v>357</v>
      </c>
    </row>
    <row r="5" spans="1:4" ht="44.25" customHeight="1" x14ac:dyDescent="0.25">
      <c r="A5" s="161"/>
      <c r="B5" s="160"/>
      <c r="C5" s="160"/>
      <c r="D5" s="40" t="s">
        <v>108</v>
      </c>
    </row>
    <row r="6" spans="1:4" ht="57" x14ac:dyDescent="0.25">
      <c r="A6" s="161"/>
      <c r="B6" s="160"/>
      <c r="C6" s="160"/>
      <c r="D6" s="39" t="s">
        <v>358</v>
      </c>
    </row>
    <row r="7" spans="1:4" ht="34.5" customHeight="1" x14ac:dyDescent="0.25">
      <c r="A7" s="161"/>
      <c r="B7" s="160"/>
      <c r="C7" s="160"/>
      <c r="D7" s="39" t="s">
        <v>109</v>
      </c>
    </row>
    <row r="8" spans="1:4" ht="25.5" customHeight="1" x14ac:dyDescent="0.25">
      <c r="A8" s="161" t="str">
        <f>Risici!B4</f>
        <v>3.2</v>
      </c>
      <c r="B8" s="160" t="str">
        <f>Risici!C4</f>
        <v>Ansvarlighed
Artikel 5, stk. 2, og 24 samt betragtning nr. 39 and 74</v>
      </c>
      <c r="C8" s="113" t="s">
        <v>314</v>
      </c>
      <c r="D8" s="41" t="s">
        <v>213</v>
      </c>
    </row>
    <row r="9" spans="1:4" ht="54" customHeight="1" x14ac:dyDescent="0.25">
      <c r="A9" s="161"/>
      <c r="B9" s="160"/>
      <c r="C9" s="113"/>
      <c r="D9" s="41" t="s">
        <v>214</v>
      </c>
    </row>
    <row r="10" spans="1:4" ht="111.75" customHeight="1" x14ac:dyDescent="0.25">
      <c r="A10" s="42" t="str">
        <f>Risici!B5</f>
        <v>3.3</v>
      </c>
      <c r="B10" s="39" t="str">
        <f>Risici!C5</f>
        <v>Formålsbegrænsning og lovlighed
Artikel 5, stk. 1, litra b, artikel 6, stk. 1 og 4, og 30 samt betragtning nr. 39 og 50.</v>
      </c>
      <c r="C10" s="43" t="s">
        <v>208</v>
      </c>
      <c r="D10" s="37" t="s">
        <v>209</v>
      </c>
    </row>
    <row r="11" spans="1:4" ht="57" x14ac:dyDescent="0.25">
      <c r="A11" s="161" t="str">
        <f>Risici!B6</f>
        <v>3.4</v>
      </c>
      <c r="B11" s="160" t="str">
        <f>Risici!C6</f>
        <v>Princippet om rimelighed
Artikel 5, stk. 1, litra a, og præambelbetragtning nr. 39, 40 samt 58</v>
      </c>
      <c r="C11" s="113" t="s">
        <v>204</v>
      </c>
      <c r="D11" s="37" t="s">
        <v>215</v>
      </c>
    </row>
    <row r="12" spans="1:4" ht="56.25" customHeight="1" x14ac:dyDescent="0.25">
      <c r="A12" s="161"/>
      <c r="B12" s="160"/>
      <c r="C12" s="113"/>
      <c r="D12" s="37" t="s">
        <v>393</v>
      </c>
    </row>
    <row r="13" spans="1:4" ht="49.5" customHeight="1" x14ac:dyDescent="0.25">
      <c r="A13" s="161"/>
      <c r="B13" s="160"/>
      <c r="C13" s="113"/>
      <c r="D13" s="37" t="s">
        <v>110</v>
      </c>
    </row>
    <row r="14" spans="1:4" ht="75" customHeight="1" x14ac:dyDescent="0.25">
      <c r="A14" s="161" t="str">
        <f>Risici!B7</f>
        <v>3.5</v>
      </c>
      <c r="B14" s="169" t="str">
        <f>Risici!C7</f>
        <v>Gennemsigtighed
Artikel 5, stk. 1, litra a, og 12-15  samt præambelbetragtning nr. 60-62</v>
      </c>
      <c r="C14" s="113" t="s">
        <v>268</v>
      </c>
      <c r="D14" s="37" t="s">
        <v>269</v>
      </c>
    </row>
    <row r="15" spans="1:4" ht="39.75" customHeight="1" x14ac:dyDescent="0.25">
      <c r="A15" s="161"/>
      <c r="B15" s="170"/>
      <c r="C15" s="113"/>
      <c r="D15" s="37" t="s">
        <v>111</v>
      </c>
    </row>
    <row r="16" spans="1:4" ht="43.5" customHeight="1" x14ac:dyDescent="0.25">
      <c r="A16" s="166" t="str">
        <f>Risici!B8</f>
        <v>3.6</v>
      </c>
      <c r="B16" s="169" t="str">
        <f>Risici!C8</f>
        <v>Dataminimering
Artikel 5, stk. 1, litra c, samt betragtning nr. 39</v>
      </c>
      <c r="C16" s="157" t="s">
        <v>205</v>
      </c>
      <c r="D16" s="37" t="s">
        <v>210</v>
      </c>
    </row>
    <row r="17" spans="1:8" ht="43.5" customHeight="1" x14ac:dyDescent="0.25">
      <c r="A17" s="167"/>
      <c r="B17" s="170"/>
      <c r="C17" s="158"/>
      <c r="D17" s="37" t="s">
        <v>216</v>
      </c>
    </row>
    <row r="18" spans="1:8" ht="43.5" customHeight="1" x14ac:dyDescent="0.25">
      <c r="A18" s="168"/>
      <c r="B18" s="171"/>
      <c r="C18" s="159"/>
      <c r="D18" s="37" t="s">
        <v>211</v>
      </c>
    </row>
    <row r="19" spans="1:8" ht="43.5" customHeight="1" x14ac:dyDescent="0.25">
      <c r="A19" s="162" t="str">
        <f>Risici!B9</f>
        <v>3.7</v>
      </c>
      <c r="B19" s="157" t="str">
        <f>Risici!C9</f>
        <v xml:space="preserve">Sikkerhed
Artikel 5, stk. 1, litra f, og artikel 32-34 samt præambelbetragtning nr. 83 og 85-88 </v>
      </c>
      <c r="C19" s="157" t="s">
        <v>250</v>
      </c>
      <c r="D19" s="37" t="s">
        <v>252</v>
      </c>
    </row>
    <row r="20" spans="1:8" ht="43.5" customHeight="1" x14ac:dyDescent="0.25">
      <c r="A20" s="163"/>
      <c r="B20" s="158"/>
      <c r="C20" s="158"/>
      <c r="D20" s="37" t="s">
        <v>251</v>
      </c>
    </row>
    <row r="21" spans="1:8" ht="42.75" customHeight="1" x14ac:dyDescent="0.25">
      <c r="A21" s="163"/>
      <c r="B21" s="158"/>
      <c r="C21" s="158"/>
      <c r="D21" s="37" t="s">
        <v>270</v>
      </c>
    </row>
    <row r="22" spans="1:8" ht="37.5" customHeight="1" x14ac:dyDescent="0.25">
      <c r="A22" s="164"/>
      <c r="B22" s="159"/>
      <c r="C22" s="159"/>
      <c r="D22" s="37" t="s">
        <v>271</v>
      </c>
    </row>
    <row r="23" spans="1:8" ht="52.5" customHeight="1" x14ac:dyDescent="0.25">
      <c r="A23" s="161" t="str">
        <f>Risici!B10</f>
        <v>3.8</v>
      </c>
      <c r="B23" s="160" t="str">
        <f>Risici!C10</f>
        <v>Rettigheder
Artikel 15-22 og præambelbetragtning nr. 60-71</v>
      </c>
      <c r="C23" s="113" t="s">
        <v>206</v>
      </c>
      <c r="D23" s="37" t="s">
        <v>112</v>
      </c>
    </row>
    <row r="24" spans="1:8" ht="44.25" customHeight="1" x14ac:dyDescent="0.25">
      <c r="A24" s="161"/>
      <c r="B24" s="160"/>
      <c r="C24" s="113"/>
      <c r="D24" s="37" t="s">
        <v>92</v>
      </c>
    </row>
    <row r="25" spans="1:8" ht="43.5" customHeight="1" x14ac:dyDescent="0.25">
      <c r="A25" s="161"/>
      <c r="B25" s="160"/>
      <c r="C25" s="113"/>
      <c r="D25" s="37" t="s">
        <v>394</v>
      </c>
    </row>
    <row r="26" spans="1:8" ht="30" customHeight="1" x14ac:dyDescent="0.25">
      <c r="A26" s="155" t="str">
        <f>Risici!A11</f>
        <v>Udvikling</v>
      </c>
      <c r="B26" s="155"/>
      <c r="C26" s="155"/>
      <c r="D26" s="155"/>
    </row>
    <row r="27" spans="1:8" ht="30" customHeight="1" x14ac:dyDescent="0.25">
      <c r="A27" s="166" t="str">
        <f>Risici!B12</f>
        <v>4.1</v>
      </c>
      <c r="B27" s="169" t="str">
        <f>Risici!C12</f>
        <v>Rimelighed
Artikel 5, stk. 1, litra a, og præambelbetragtning nr. 39, 58 samt 60</v>
      </c>
      <c r="C27" s="157" t="s">
        <v>228</v>
      </c>
      <c r="D27" s="43" t="s">
        <v>217</v>
      </c>
    </row>
    <row r="28" spans="1:8" ht="44.25" customHeight="1" x14ac:dyDescent="0.25">
      <c r="A28" s="167"/>
      <c r="B28" s="170"/>
      <c r="C28" s="158"/>
      <c r="D28" s="43" t="s">
        <v>93</v>
      </c>
    </row>
    <row r="29" spans="1:8" ht="96.75" customHeight="1" x14ac:dyDescent="0.25">
      <c r="A29" s="168"/>
      <c r="B29" s="171"/>
      <c r="C29" s="159"/>
      <c r="D29" s="43" t="s">
        <v>318</v>
      </c>
    </row>
    <row r="30" spans="1:8" ht="83.25" customHeight="1" x14ac:dyDescent="0.25">
      <c r="A30" s="166" t="str">
        <f>Risici!B13</f>
        <v>4.2</v>
      </c>
      <c r="B30" s="160" t="str">
        <f>Risici!C13</f>
        <v>Rimelighed
Artikel 5, stk. 1, litra a, og præambelbetragtning nr. 39, 58 samt 60</v>
      </c>
      <c r="C30" s="113" t="s">
        <v>315</v>
      </c>
      <c r="D30" s="37" t="s">
        <v>319</v>
      </c>
    </row>
    <row r="31" spans="1:8" ht="68.25" customHeight="1" x14ac:dyDescent="0.25">
      <c r="A31" s="167"/>
      <c r="B31" s="160"/>
      <c r="C31" s="113"/>
      <c r="D31" s="47" t="s">
        <v>410</v>
      </c>
    </row>
    <row r="32" spans="1:8" ht="68.25" customHeight="1" x14ac:dyDescent="0.25">
      <c r="A32" s="167"/>
      <c r="B32" s="160"/>
      <c r="C32" s="113"/>
      <c r="D32" s="37" t="s">
        <v>262</v>
      </c>
      <c r="H32" s="48"/>
    </row>
    <row r="33" spans="1:4" ht="81" customHeight="1" x14ac:dyDescent="0.25">
      <c r="A33" s="168"/>
      <c r="B33" s="160"/>
      <c r="C33" s="113"/>
      <c r="D33" s="37" t="s">
        <v>218</v>
      </c>
    </row>
    <row r="34" spans="1:4" ht="39" customHeight="1" x14ac:dyDescent="0.25">
      <c r="A34" s="161" t="str">
        <f>Risici!B14</f>
        <v>4.3</v>
      </c>
      <c r="B34" s="160" t="str">
        <f>Risici!C14</f>
        <v>Rimelighed
Artikel 5, stk. 1, litra a, og præambelbetragtning nr. 39, 58 samt 60</v>
      </c>
      <c r="C34" s="113" t="s">
        <v>229</v>
      </c>
      <c r="D34" s="37" t="s">
        <v>113</v>
      </c>
    </row>
    <row r="35" spans="1:4" ht="39" customHeight="1" x14ac:dyDescent="0.25">
      <c r="A35" s="161"/>
      <c r="B35" s="160"/>
      <c r="C35" s="113"/>
      <c r="D35" s="37" t="s">
        <v>272</v>
      </c>
    </row>
    <row r="36" spans="1:4" ht="35.25" customHeight="1" x14ac:dyDescent="0.25">
      <c r="A36" s="161"/>
      <c r="B36" s="160"/>
      <c r="C36" s="113"/>
      <c r="D36" s="37" t="s">
        <v>114</v>
      </c>
    </row>
    <row r="37" spans="1:4" ht="90.75" customHeight="1" x14ac:dyDescent="0.25">
      <c r="A37" s="161"/>
      <c r="B37" s="160"/>
      <c r="C37" s="113"/>
      <c r="D37" s="37" t="s">
        <v>395</v>
      </c>
    </row>
    <row r="38" spans="1:4" ht="27" customHeight="1" x14ac:dyDescent="0.25">
      <c r="A38" s="161"/>
      <c r="B38" s="160"/>
      <c r="C38" s="113"/>
      <c r="D38" s="37" t="s">
        <v>219</v>
      </c>
    </row>
    <row r="39" spans="1:4" ht="27" customHeight="1" x14ac:dyDescent="0.25">
      <c r="A39" s="161"/>
      <c r="B39" s="160"/>
      <c r="C39" s="113"/>
      <c r="D39" s="37" t="s">
        <v>127</v>
      </c>
    </row>
    <row r="40" spans="1:4" ht="54" customHeight="1" x14ac:dyDescent="0.25">
      <c r="A40" s="161" t="str">
        <f>Risici!B15</f>
        <v>4.4</v>
      </c>
      <c r="B40" s="160" t="str">
        <f>Risici!C15</f>
        <v>Rimelighed
Artikel 5, stk. 1, litra a og c, og præambelbetragtning nr. 39, 58 samt 60</v>
      </c>
      <c r="C40" s="113" t="s">
        <v>230</v>
      </c>
      <c r="D40" s="37" t="s">
        <v>105</v>
      </c>
    </row>
    <row r="41" spans="1:4" ht="63" customHeight="1" x14ac:dyDescent="0.25">
      <c r="A41" s="161"/>
      <c r="B41" s="160"/>
      <c r="C41" s="113"/>
      <c r="D41" s="37" t="s">
        <v>396</v>
      </c>
    </row>
    <row r="42" spans="1:4" ht="64.5" customHeight="1" x14ac:dyDescent="0.25">
      <c r="A42" s="161"/>
      <c r="B42" s="160"/>
      <c r="C42" s="113"/>
      <c r="D42" s="37" t="s">
        <v>115</v>
      </c>
    </row>
    <row r="43" spans="1:4" ht="66.75" customHeight="1" x14ac:dyDescent="0.25">
      <c r="A43" s="166" t="str">
        <f>Risici!B16</f>
        <v>4.5</v>
      </c>
      <c r="B43" s="169" t="str">
        <f>Risici!C16</f>
        <v>Gennemsigtighed
Artikel 5, stk. 1, litra a, og 12-15 samt præambelbetragtning nr. 60-62</v>
      </c>
      <c r="C43" s="157" t="s">
        <v>316</v>
      </c>
      <c r="D43" s="37" t="s">
        <v>397</v>
      </c>
    </row>
    <row r="44" spans="1:4" ht="66.75" customHeight="1" x14ac:dyDescent="0.25">
      <c r="A44" s="168"/>
      <c r="B44" s="171"/>
      <c r="C44" s="159"/>
      <c r="D44" s="44" t="s">
        <v>359</v>
      </c>
    </row>
    <row r="45" spans="1:4" ht="66.75" customHeight="1" x14ac:dyDescent="0.25">
      <c r="A45" s="50" t="str">
        <f>Risici!B17</f>
        <v>4.6</v>
      </c>
      <c r="B45" s="49" t="str">
        <f>Risici!C17</f>
        <v>Dataminimering
Artikel 5, stk. 1, litra c, og betragtning nr. 39</v>
      </c>
      <c r="C45" s="47" t="s">
        <v>231</v>
      </c>
      <c r="D45" s="37" t="s">
        <v>106</v>
      </c>
    </row>
    <row r="46" spans="1:4" ht="66.75" customHeight="1" x14ac:dyDescent="0.25">
      <c r="A46" s="162" t="str">
        <f>Risici!B18</f>
        <v>4.7</v>
      </c>
      <c r="B46" s="157" t="str">
        <f>Risici!C18</f>
        <v xml:space="preserve">Sikkerhed
Artikel 5, stk. 1, litra f, og artikel 32-34 samt præambelbetragtning nr. 83 og 85-88 </v>
      </c>
      <c r="C46" s="157" t="s">
        <v>255</v>
      </c>
      <c r="D46" s="37" t="s">
        <v>253</v>
      </c>
    </row>
    <row r="47" spans="1:4" ht="66.75" customHeight="1" x14ac:dyDescent="0.25">
      <c r="A47" s="163"/>
      <c r="B47" s="158"/>
      <c r="C47" s="158"/>
      <c r="D47" s="37" t="s">
        <v>398</v>
      </c>
    </row>
    <row r="48" spans="1:4" ht="66.75" customHeight="1" x14ac:dyDescent="0.25">
      <c r="A48" s="163"/>
      <c r="B48" s="158"/>
      <c r="C48" s="158"/>
      <c r="D48" s="37" t="s">
        <v>399</v>
      </c>
    </row>
    <row r="49" spans="1:4" ht="75" customHeight="1" x14ac:dyDescent="0.25">
      <c r="A49" s="163"/>
      <c r="B49" s="158"/>
      <c r="C49" s="158"/>
      <c r="D49" s="37" t="s">
        <v>223</v>
      </c>
    </row>
    <row r="50" spans="1:4" ht="66.75" customHeight="1" x14ac:dyDescent="0.25">
      <c r="A50" s="163"/>
      <c r="B50" s="158"/>
      <c r="C50" s="158"/>
      <c r="D50" s="37" t="s">
        <v>254</v>
      </c>
    </row>
    <row r="51" spans="1:4" ht="66.75" customHeight="1" x14ac:dyDescent="0.25">
      <c r="A51" s="163"/>
      <c r="B51" s="158"/>
      <c r="C51" s="158"/>
      <c r="D51" s="37" t="s">
        <v>400</v>
      </c>
    </row>
    <row r="52" spans="1:4" ht="54" customHeight="1" x14ac:dyDescent="0.25">
      <c r="A52" s="164"/>
      <c r="B52" s="159"/>
      <c r="C52" s="159"/>
      <c r="D52" s="37" t="s">
        <v>401</v>
      </c>
    </row>
    <row r="53" spans="1:4" ht="51" customHeight="1" x14ac:dyDescent="0.25">
      <c r="A53" s="162" t="str">
        <f>Risici!B19</f>
        <v>4.8</v>
      </c>
      <c r="B53" s="157" t="str">
        <f>Risici!C19</f>
        <v xml:space="preserve">Sikkerhed
Artikel 5, stk. 1, litra f, og artikel 32-34 samt præambelbetragtning nr. 83 og 85-88 </v>
      </c>
      <c r="C53" s="157" t="s">
        <v>256</v>
      </c>
      <c r="D53" s="37" t="s">
        <v>402</v>
      </c>
    </row>
    <row r="54" spans="1:4" ht="36" customHeight="1" x14ac:dyDescent="0.25">
      <c r="A54" s="163"/>
      <c r="B54" s="158"/>
      <c r="C54" s="158"/>
      <c r="D54" s="37" t="s">
        <v>403</v>
      </c>
    </row>
    <row r="55" spans="1:4" ht="66.75" customHeight="1" x14ac:dyDescent="0.25">
      <c r="A55" s="164"/>
      <c r="B55" s="159"/>
      <c r="C55" s="159"/>
      <c r="D55" s="37" t="s">
        <v>320</v>
      </c>
    </row>
    <row r="56" spans="1:4" ht="69.75" customHeight="1" x14ac:dyDescent="0.25">
      <c r="A56" s="172" t="str">
        <f>Risici!A20</f>
        <v>Test</v>
      </c>
      <c r="B56" s="173"/>
      <c r="C56" s="173"/>
      <c r="D56" s="174"/>
    </row>
    <row r="57" spans="1:4" ht="52.5" customHeight="1" x14ac:dyDescent="0.25">
      <c r="A57" s="161" t="str">
        <f>Risici!B21</f>
        <v>5.1</v>
      </c>
      <c r="B57" s="160" t="str">
        <f>Risici!C21</f>
        <v>Rimelighed
Artikel 5, stk. 1, litra a, og præambelbetragtning nr. 39, 58 samt 60</v>
      </c>
      <c r="C57" s="113" t="s">
        <v>273</v>
      </c>
      <c r="D57" s="37" t="s">
        <v>274</v>
      </c>
    </row>
    <row r="58" spans="1:4" ht="63.75" customHeight="1" x14ac:dyDescent="0.25">
      <c r="A58" s="161"/>
      <c r="B58" s="160"/>
      <c r="C58" s="113"/>
      <c r="D58" s="37" t="s">
        <v>103</v>
      </c>
    </row>
    <row r="59" spans="1:4" ht="47.25" customHeight="1" x14ac:dyDescent="0.25">
      <c r="A59" s="161"/>
      <c r="B59" s="160"/>
      <c r="C59" s="113"/>
      <c r="D59" s="37" t="s">
        <v>116</v>
      </c>
    </row>
    <row r="60" spans="1:4" ht="33" customHeight="1" x14ac:dyDescent="0.25">
      <c r="A60" s="161" t="str">
        <f>Risici!B22</f>
        <v>5.2</v>
      </c>
      <c r="B60" s="160" t="str">
        <f>Risici!C22</f>
        <v>Rimelighed
Artikel 5, stk. 1, litra a, og præambelbetragtning nr. 39, 58 samt 60</v>
      </c>
      <c r="C60" s="113" t="s">
        <v>232</v>
      </c>
      <c r="D60" s="37" t="s">
        <v>220</v>
      </c>
    </row>
    <row r="61" spans="1:4" ht="27.75" customHeight="1" x14ac:dyDescent="0.25">
      <c r="A61" s="161"/>
      <c r="B61" s="160"/>
      <c r="C61" s="113"/>
      <c r="D61" s="37" t="s">
        <v>104</v>
      </c>
    </row>
    <row r="62" spans="1:4" ht="39.75" customHeight="1" x14ac:dyDescent="0.25">
      <c r="A62" s="161"/>
      <c r="B62" s="160"/>
      <c r="C62" s="113"/>
      <c r="D62" s="37" t="s">
        <v>102</v>
      </c>
    </row>
    <row r="63" spans="1:4" ht="34.5" customHeight="1" x14ac:dyDescent="0.25">
      <c r="A63" s="161"/>
      <c r="B63" s="160"/>
      <c r="C63" s="113"/>
      <c r="D63" s="44" t="s">
        <v>128</v>
      </c>
    </row>
    <row r="64" spans="1:4" ht="44.25" customHeight="1" x14ac:dyDescent="0.25">
      <c r="A64" s="161"/>
      <c r="B64" s="160"/>
      <c r="C64" s="113"/>
      <c r="D64" s="37" t="s">
        <v>276</v>
      </c>
    </row>
    <row r="65" spans="1:4" ht="40.5" customHeight="1" x14ac:dyDescent="0.25">
      <c r="A65" s="161" t="str">
        <f>Risici!B23</f>
        <v>5.3</v>
      </c>
      <c r="B65" s="160" t="str">
        <f>Risici!C23</f>
        <v>Gennemsigtighed
Artikel 5, stk. 1, litra a, og 12-15  samt præambelbetragtning nr. 60-62</v>
      </c>
      <c r="C65" s="113" t="s">
        <v>275</v>
      </c>
      <c r="D65" s="37" t="s">
        <v>117</v>
      </c>
    </row>
    <row r="66" spans="1:4" ht="59.25" customHeight="1" x14ac:dyDescent="0.25">
      <c r="A66" s="161"/>
      <c r="B66" s="160"/>
      <c r="C66" s="113"/>
      <c r="D66" s="37" t="s">
        <v>221</v>
      </c>
    </row>
    <row r="67" spans="1:4" ht="47.25" customHeight="1" x14ac:dyDescent="0.25">
      <c r="A67" s="161"/>
      <c r="B67" s="160"/>
      <c r="C67" s="113"/>
      <c r="D67" s="37" t="s">
        <v>118</v>
      </c>
    </row>
    <row r="68" spans="1:4" ht="43.5" customHeight="1" x14ac:dyDescent="0.25">
      <c r="A68" s="161"/>
      <c r="B68" s="160"/>
      <c r="C68" s="113"/>
      <c r="D68" s="37" t="s">
        <v>119</v>
      </c>
    </row>
    <row r="69" spans="1:4" ht="39" customHeight="1" x14ac:dyDescent="0.25">
      <c r="A69" s="161"/>
      <c r="B69" s="160"/>
      <c r="C69" s="113"/>
      <c r="D69" s="37" t="s">
        <v>222</v>
      </c>
    </row>
    <row r="70" spans="1:4" ht="33" customHeight="1" x14ac:dyDescent="0.25">
      <c r="A70" s="161"/>
      <c r="B70" s="160"/>
      <c r="C70" s="113"/>
      <c r="D70" s="37" t="s">
        <v>404</v>
      </c>
    </row>
    <row r="71" spans="1:4" ht="27" customHeight="1" x14ac:dyDescent="0.25">
      <c r="A71" s="166" t="str">
        <f>Risici!B24</f>
        <v>5.4</v>
      </c>
      <c r="B71" s="169" t="str">
        <f>Risici!C24</f>
        <v>Rigtighed
Artikel 5, stk. 1, litra d, og betragtning nr. 39</v>
      </c>
      <c r="C71" s="157" t="s">
        <v>233</v>
      </c>
      <c r="D71" s="37" t="s">
        <v>405</v>
      </c>
    </row>
    <row r="72" spans="1:4" ht="30.75" customHeight="1" x14ac:dyDescent="0.25">
      <c r="A72" s="167"/>
      <c r="B72" s="170"/>
      <c r="C72" s="158"/>
      <c r="D72" s="37" t="s">
        <v>406</v>
      </c>
    </row>
    <row r="73" spans="1:4" ht="75.75" customHeight="1" x14ac:dyDescent="0.25">
      <c r="A73" s="168"/>
      <c r="B73" s="171"/>
      <c r="C73" s="159"/>
      <c r="D73" s="37" t="s">
        <v>134</v>
      </c>
    </row>
    <row r="74" spans="1:4" ht="81.75" customHeight="1" x14ac:dyDescent="0.25">
      <c r="A74" s="162" t="str">
        <f>Risici!B25</f>
        <v>5.5</v>
      </c>
      <c r="B74" s="157" t="str">
        <f>Risici!C25</f>
        <v xml:space="preserve">Sikkerhed
Artikel 5, stk. 1, litra f, og artikel 32-34 samt præambelbetragtning nr. 83 og 85-88 </v>
      </c>
      <c r="C74" s="157" t="s">
        <v>317</v>
      </c>
      <c r="D74" s="37" t="s">
        <v>120</v>
      </c>
    </row>
    <row r="75" spans="1:4" ht="102.75" customHeight="1" x14ac:dyDescent="0.25">
      <c r="A75" s="163"/>
      <c r="B75" s="158"/>
      <c r="C75" s="158"/>
      <c r="D75" s="37" t="s">
        <v>121</v>
      </c>
    </row>
    <row r="76" spans="1:4" ht="46.5" customHeight="1" x14ac:dyDescent="0.25">
      <c r="A76" s="161" t="str">
        <f>Risici!B26</f>
        <v>5.6</v>
      </c>
      <c r="B76" s="160" t="str">
        <f>Risici!C26</f>
        <v>Dataminimering
Artikel 5, stk. 1, litra c</v>
      </c>
      <c r="C76" s="113" t="s">
        <v>234</v>
      </c>
      <c r="D76" s="37" t="s">
        <v>224</v>
      </c>
    </row>
    <row r="77" spans="1:4" ht="39.75" customHeight="1" x14ac:dyDescent="0.25">
      <c r="A77" s="161"/>
      <c r="B77" s="160"/>
      <c r="C77" s="113"/>
      <c r="D77" s="37" t="s">
        <v>125</v>
      </c>
    </row>
    <row r="78" spans="1:4" ht="36" customHeight="1" x14ac:dyDescent="0.25">
      <c r="A78" s="161"/>
      <c r="B78" s="160"/>
      <c r="C78" s="113"/>
      <c r="D78" s="37" t="s">
        <v>225</v>
      </c>
    </row>
    <row r="79" spans="1:4" ht="39" customHeight="1" x14ac:dyDescent="0.25">
      <c r="A79" s="161"/>
      <c r="B79" s="160"/>
      <c r="C79" s="113"/>
      <c r="D79" s="37" t="s">
        <v>99</v>
      </c>
    </row>
    <row r="80" spans="1:4" ht="42.75" customHeight="1" x14ac:dyDescent="0.25">
      <c r="A80" s="161"/>
      <c r="B80" s="160"/>
      <c r="C80" s="113"/>
      <c r="D80" s="37" t="s">
        <v>100</v>
      </c>
    </row>
    <row r="81" spans="1:4" ht="95.25" customHeight="1" x14ac:dyDescent="0.25">
      <c r="A81" s="42" t="str">
        <f>Risici!B27</f>
        <v>5.7</v>
      </c>
      <c r="B81" s="39" t="str">
        <f>Risici!C27</f>
        <v>Meningsfyldt menneskeligt review
Artikel 13, stk. 2, litra f, artikel 14, stk. 2, litra g, og artikel 15, stk. 1, litra h, samt artikel 22</v>
      </c>
      <c r="C81" s="37" t="s">
        <v>235</v>
      </c>
      <c r="D81" s="37" t="s">
        <v>101</v>
      </c>
    </row>
    <row r="82" spans="1:4" ht="25.5" customHeight="1" x14ac:dyDescent="0.25">
      <c r="A82" s="172" t="str">
        <f>Risici!A28</f>
        <v>Drift og monitorering</v>
      </c>
      <c r="B82" s="173"/>
      <c r="C82" s="173"/>
      <c r="D82" s="174"/>
    </row>
    <row r="83" spans="1:4" ht="29.25" customHeight="1" x14ac:dyDescent="0.25">
      <c r="A83" s="161" t="str">
        <f>Risici!B29</f>
        <v>6.1</v>
      </c>
      <c r="B83" s="160" t="str">
        <f>Risici!C29</f>
        <v>Rimelighed
Artikel 5, stk. 1, litra a, og præambelbetragtning nr. 39, 58 samt 60</v>
      </c>
      <c r="C83" s="113" t="s">
        <v>236</v>
      </c>
      <c r="D83" s="44" t="s">
        <v>129</v>
      </c>
    </row>
    <row r="84" spans="1:4" ht="24" customHeight="1" x14ac:dyDescent="0.25">
      <c r="A84" s="161"/>
      <c r="B84" s="160"/>
      <c r="C84" s="113"/>
      <c r="D84" s="37" t="s">
        <v>130</v>
      </c>
    </row>
    <row r="85" spans="1:4" ht="24" customHeight="1" x14ac:dyDescent="0.25">
      <c r="A85" s="161"/>
      <c r="B85" s="160"/>
      <c r="C85" s="113"/>
      <c r="D85" s="37" t="s">
        <v>98</v>
      </c>
    </row>
    <row r="86" spans="1:4" ht="24.75" customHeight="1" x14ac:dyDescent="0.25">
      <c r="A86" s="161"/>
      <c r="B86" s="160"/>
      <c r="C86" s="113"/>
      <c r="D86" s="37" t="s">
        <v>131</v>
      </c>
    </row>
    <row r="87" spans="1:4" ht="78" customHeight="1" x14ac:dyDescent="0.25">
      <c r="A87" s="162" t="str">
        <f>Risici!B30</f>
        <v>6.2</v>
      </c>
      <c r="B87" s="157" t="str">
        <f>Risici!C30</f>
        <v>Rimelighed og sikkerhed
Artikel 5, stk. 1, litra a og f, samt betragtning nr. 39, 58 samt 60 og 83</v>
      </c>
      <c r="C87" s="157" t="s">
        <v>332</v>
      </c>
      <c r="D87" s="37" t="s">
        <v>223</v>
      </c>
    </row>
    <row r="88" spans="1:4" ht="24.75" customHeight="1" x14ac:dyDescent="0.25">
      <c r="A88" s="163"/>
      <c r="B88" s="158"/>
      <c r="C88" s="158"/>
      <c r="D88" s="37" t="s">
        <v>227</v>
      </c>
    </row>
    <row r="89" spans="1:4" ht="46.5" customHeight="1" x14ac:dyDescent="0.25">
      <c r="A89" s="166" t="str">
        <f>Risici!B31</f>
        <v>6.3</v>
      </c>
      <c r="B89" s="169" t="str">
        <f>Risici!C31</f>
        <v xml:space="preserve">Sikkerhed
Artikel 5, stk. 1, litra f, og artikel 32-34 samt præambelbetragtning nr. 83 og 85-88 </v>
      </c>
      <c r="C89" s="157" t="s">
        <v>237</v>
      </c>
      <c r="D89" s="37" t="s">
        <v>122</v>
      </c>
    </row>
    <row r="90" spans="1:4" ht="47.25" customHeight="1" x14ac:dyDescent="0.25">
      <c r="A90" s="167"/>
      <c r="B90" s="170"/>
      <c r="C90" s="158"/>
      <c r="D90" s="37" t="s">
        <v>107</v>
      </c>
    </row>
    <row r="91" spans="1:4" ht="53.25" customHeight="1" x14ac:dyDescent="0.25">
      <c r="A91" s="167"/>
      <c r="B91" s="170"/>
      <c r="C91" s="158"/>
      <c r="D91" s="37" t="s">
        <v>97</v>
      </c>
    </row>
    <row r="92" spans="1:4" ht="48.75" customHeight="1" x14ac:dyDescent="0.25">
      <c r="A92" s="168"/>
      <c r="B92" s="171"/>
      <c r="C92" s="159"/>
      <c r="D92" s="37" t="s">
        <v>360</v>
      </c>
    </row>
    <row r="93" spans="1:4" ht="87.75" customHeight="1" x14ac:dyDescent="0.25">
      <c r="A93" s="51" t="str">
        <f>Risici!B32</f>
        <v>6.4</v>
      </c>
      <c r="B93" s="47" t="str">
        <f>Risici!C32</f>
        <v xml:space="preserve">Sikkerhed
Artikel 5, stk. 1, litra f, og artikel 32-34 samt præambelbetragtning nr. 83 og 85-88 </v>
      </c>
      <c r="C93" s="47" t="s">
        <v>257</v>
      </c>
      <c r="D93" s="37" t="s">
        <v>407</v>
      </c>
    </row>
    <row r="94" spans="1:4" ht="72" customHeight="1" x14ac:dyDescent="0.25">
      <c r="A94" s="162" t="str">
        <f>Risici!B33</f>
        <v>6.5</v>
      </c>
      <c r="B94" s="157" t="str">
        <f>Risici!C33</f>
        <v xml:space="preserve">Sikkerhed
Artikel 5, stk. 1, litra f, og artikel 32-34 samt præambelbetragtning nr. 83 og 85-88 </v>
      </c>
      <c r="C94" s="157" t="s">
        <v>331</v>
      </c>
      <c r="D94" s="37" t="s">
        <v>223</v>
      </c>
    </row>
    <row r="95" spans="1:4" ht="37.5" customHeight="1" x14ac:dyDescent="0.25">
      <c r="A95" s="163"/>
      <c r="B95" s="158"/>
      <c r="C95" s="158"/>
      <c r="D95" s="37" t="s">
        <v>330</v>
      </c>
    </row>
    <row r="96" spans="1:4" ht="81.75" customHeight="1" x14ac:dyDescent="0.25">
      <c r="A96" s="164"/>
      <c r="B96" s="159"/>
      <c r="C96" s="159"/>
      <c r="D96" s="37" t="s">
        <v>400</v>
      </c>
    </row>
    <row r="97" spans="1:4" ht="48.75" customHeight="1" x14ac:dyDescent="0.25">
      <c r="A97" s="165" t="str">
        <f>Risici!B34</f>
        <v>6.6</v>
      </c>
      <c r="B97" s="113" t="str">
        <f>Risici!C34</f>
        <v xml:space="preserve">Sikkerhed
Artikel 5, stk. 1, litra f, og artikel 32-34 samt præambelbetragtning nr. 83 og 85-88 </v>
      </c>
      <c r="C97" s="113" t="s">
        <v>258</v>
      </c>
      <c r="D97" s="37" t="s">
        <v>361</v>
      </c>
    </row>
    <row r="98" spans="1:4" ht="48.75" customHeight="1" x14ac:dyDescent="0.25">
      <c r="A98" s="165"/>
      <c r="B98" s="113"/>
      <c r="C98" s="113"/>
      <c r="D98" s="37" t="s">
        <v>259</v>
      </c>
    </row>
    <row r="99" spans="1:4" ht="48.75" customHeight="1" x14ac:dyDescent="0.25">
      <c r="A99" s="165"/>
      <c r="B99" s="113"/>
      <c r="C99" s="113"/>
      <c r="D99" s="37" t="s">
        <v>408</v>
      </c>
    </row>
    <row r="100" spans="1:4" ht="84.75" customHeight="1" x14ac:dyDescent="0.25">
      <c r="A100" s="51" t="str">
        <f>Risici!B35</f>
        <v>6.7</v>
      </c>
      <c r="B100" s="47" t="str">
        <f>Risici!C35</f>
        <v xml:space="preserve">Sikkerhed
Artikel 5, stk. 1, litra f, og artikel 32-34 samt præambelbetragtning nr. 83 og 85-88 </v>
      </c>
      <c r="C100" s="47" t="s">
        <v>260</v>
      </c>
      <c r="D100" s="37" t="s">
        <v>261</v>
      </c>
    </row>
    <row r="101" spans="1:4" ht="48.75" customHeight="1" x14ac:dyDescent="0.25">
      <c r="A101" s="161" t="str">
        <f>Risici!B36</f>
        <v>6.8</v>
      </c>
      <c r="B101" s="160" t="str">
        <f>Risici!C36</f>
        <v>Dataminimering
Artikel 5, stk. 1, litra c, og præambelbetragtning nr. 39</v>
      </c>
      <c r="C101" s="113" t="s">
        <v>238</v>
      </c>
      <c r="D101" s="37" t="s">
        <v>96</v>
      </c>
    </row>
    <row r="102" spans="1:4" ht="48.75" customHeight="1" x14ac:dyDescent="0.25">
      <c r="A102" s="161"/>
      <c r="B102" s="160"/>
      <c r="C102" s="113"/>
      <c r="D102" s="37" t="s">
        <v>123</v>
      </c>
    </row>
    <row r="103" spans="1:4" ht="48.75" customHeight="1" x14ac:dyDescent="0.25">
      <c r="A103" s="161" t="str">
        <f>Risici!B37</f>
        <v>6.9</v>
      </c>
      <c r="B103" s="160" t="str">
        <f>Risici!C37</f>
        <v>Rettigheder
Artikel 15-22 og præambelbetragtning nr. 60-71</v>
      </c>
      <c r="C103" s="113" t="s">
        <v>240</v>
      </c>
      <c r="D103" s="37" t="s">
        <v>133</v>
      </c>
    </row>
    <row r="104" spans="1:4" ht="48.75" customHeight="1" x14ac:dyDescent="0.25">
      <c r="A104" s="161"/>
      <c r="B104" s="160"/>
      <c r="C104" s="113"/>
      <c r="D104" s="37" t="s">
        <v>132</v>
      </c>
    </row>
    <row r="105" spans="1:4" ht="48.75" customHeight="1" x14ac:dyDescent="0.25">
      <c r="A105" s="161"/>
      <c r="B105" s="160"/>
      <c r="C105" s="113"/>
      <c r="D105" s="37" t="s">
        <v>277</v>
      </c>
    </row>
    <row r="106" spans="1:4" ht="47.25" customHeight="1" x14ac:dyDescent="0.25">
      <c r="A106" s="161" t="str">
        <f>Risici!B38</f>
        <v>6.10</v>
      </c>
      <c r="B106" s="160" t="str">
        <f>Risici!C38</f>
        <v>Meningsfyldt menneskeligt review
Artikel 13, stk. 2, litra f, artikel 14, stk. 2, litra g, og artikel 15, stk. 1, litra h, samt artikel 22</v>
      </c>
      <c r="C106" s="113" t="s">
        <v>241</v>
      </c>
      <c r="D106" s="37" t="s">
        <v>226</v>
      </c>
    </row>
    <row r="107" spans="1:4" ht="32.25" customHeight="1" x14ac:dyDescent="0.25">
      <c r="A107" s="161"/>
      <c r="B107" s="160"/>
      <c r="C107" s="113"/>
      <c r="D107" s="37" t="s">
        <v>227</v>
      </c>
    </row>
    <row r="108" spans="1:4" ht="54" customHeight="1" x14ac:dyDescent="0.25">
      <c r="A108" s="161"/>
      <c r="B108" s="160"/>
      <c r="C108" s="113"/>
      <c r="D108" s="37" t="s">
        <v>126</v>
      </c>
    </row>
    <row r="109" spans="1:4" ht="38.25" customHeight="1" x14ac:dyDescent="0.25">
      <c r="A109" s="161"/>
      <c r="B109" s="160"/>
      <c r="C109" s="113"/>
      <c r="D109" s="37" t="s">
        <v>94</v>
      </c>
    </row>
    <row r="110" spans="1:4" ht="45.75" customHeight="1" x14ac:dyDescent="0.25">
      <c r="A110" s="161"/>
      <c r="B110" s="160"/>
      <c r="C110" s="113"/>
      <c r="D110" s="37" t="s">
        <v>95</v>
      </c>
    </row>
    <row r="111" spans="1:4" ht="26.25" customHeight="1" x14ac:dyDescent="0.25">
      <c r="A111" s="161"/>
      <c r="B111" s="160"/>
      <c r="C111" s="113"/>
      <c r="D111" s="37" t="s">
        <v>409</v>
      </c>
    </row>
  </sheetData>
  <mergeCells count="88">
    <mergeCell ref="A106:A111"/>
    <mergeCell ref="A2:D2"/>
    <mergeCell ref="A26:D26"/>
    <mergeCell ref="A56:D56"/>
    <mergeCell ref="A82:D82"/>
    <mergeCell ref="B103:B105"/>
    <mergeCell ref="C103:C105"/>
    <mergeCell ref="A103:A105"/>
    <mergeCell ref="C27:C29"/>
    <mergeCell ref="B27:B29"/>
    <mergeCell ref="A27:A29"/>
    <mergeCell ref="C89:C92"/>
    <mergeCell ref="B89:B92"/>
    <mergeCell ref="A89:A92"/>
    <mergeCell ref="A76:A80"/>
    <mergeCell ref="C71:C73"/>
    <mergeCell ref="C16:C18"/>
    <mergeCell ref="A16:A18"/>
    <mergeCell ref="B101:B102"/>
    <mergeCell ref="B65:B70"/>
    <mergeCell ref="B83:B86"/>
    <mergeCell ref="A43:A44"/>
    <mergeCell ref="C19:C22"/>
    <mergeCell ref="C30:C33"/>
    <mergeCell ref="A30:A33"/>
    <mergeCell ref="C34:C39"/>
    <mergeCell ref="C40:C42"/>
    <mergeCell ref="C43:C44"/>
    <mergeCell ref="A46:A52"/>
    <mergeCell ref="C53:C55"/>
    <mergeCell ref="A87:A88"/>
    <mergeCell ref="B87:B88"/>
    <mergeCell ref="B106:B111"/>
    <mergeCell ref="B71:B73"/>
    <mergeCell ref="B74:B75"/>
    <mergeCell ref="B76:B80"/>
    <mergeCell ref="B3:B7"/>
    <mergeCell ref="B8:B9"/>
    <mergeCell ref="B11:B13"/>
    <mergeCell ref="B14:B15"/>
    <mergeCell ref="B23:B25"/>
    <mergeCell ref="B16:B18"/>
    <mergeCell ref="B19:B22"/>
    <mergeCell ref="B30:B33"/>
    <mergeCell ref="B34:B39"/>
    <mergeCell ref="B43:B44"/>
    <mergeCell ref="B53:B55"/>
    <mergeCell ref="B94:B96"/>
    <mergeCell ref="C106:C111"/>
    <mergeCell ref="C83:C86"/>
    <mergeCell ref="A101:A102"/>
    <mergeCell ref="C3:C7"/>
    <mergeCell ref="C8:C9"/>
    <mergeCell ref="C11:C13"/>
    <mergeCell ref="C14:C15"/>
    <mergeCell ref="A65:A70"/>
    <mergeCell ref="A83:A86"/>
    <mergeCell ref="A57:A59"/>
    <mergeCell ref="B40:B42"/>
    <mergeCell ref="A40:A42"/>
    <mergeCell ref="A34:A39"/>
    <mergeCell ref="C23:C25"/>
    <mergeCell ref="C101:C102"/>
    <mergeCell ref="C57:C59"/>
    <mergeCell ref="A3:A7"/>
    <mergeCell ref="A23:A25"/>
    <mergeCell ref="A8:A9"/>
    <mergeCell ref="A11:A13"/>
    <mergeCell ref="A14:A15"/>
    <mergeCell ref="A19:A22"/>
    <mergeCell ref="A97:A99"/>
    <mergeCell ref="B97:B99"/>
    <mergeCell ref="C97:C99"/>
    <mergeCell ref="C65:C70"/>
    <mergeCell ref="C74:C75"/>
    <mergeCell ref="C76:C80"/>
    <mergeCell ref="A71:A73"/>
    <mergeCell ref="A74:A75"/>
    <mergeCell ref="C87:C88"/>
    <mergeCell ref="A94:A96"/>
    <mergeCell ref="C94:C96"/>
    <mergeCell ref="C46:C52"/>
    <mergeCell ref="B57:B59"/>
    <mergeCell ref="B46:B52"/>
    <mergeCell ref="A60:A64"/>
    <mergeCell ref="B60:B64"/>
    <mergeCell ref="C60:C64"/>
    <mergeCell ref="A53:A55"/>
  </mergeCells>
  <pageMargins left="0.7" right="0.7" top="0.75" bottom="0.75" header="0.3" footer="0.3"/>
  <pageSetup paperSize="8" scale="7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014A-CFC8-4671-A283-C64A61CD6ED4}">
  <dimension ref="A1:N13"/>
  <sheetViews>
    <sheetView workbookViewId="0">
      <selection activeCell="S8" sqref="S8"/>
    </sheetView>
  </sheetViews>
  <sheetFormatPr defaultRowHeight="15" x14ac:dyDescent="0.25"/>
  <cols>
    <col min="9" max="14" width="15.140625" customWidth="1"/>
  </cols>
  <sheetData>
    <row r="1" spans="1:14" ht="38.25" customHeight="1" x14ac:dyDescent="0.25">
      <c r="A1" s="81" t="s">
        <v>141</v>
      </c>
      <c r="B1" s="82"/>
      <c r="C1" s="82"/>
      <c r="D1" s="82"/>
      <c r="E1" s="82"/>
      <c r="F1" s="82"/>
      <c r="G1" s="82"/>
      <c r="H1" s="82"/>
      <c r="I1" s="82"/>
      <c r="J1" s="82"/>
      <c r="K1" s="82"/>
      <c r="L1" s="82"/>
      <c r="M1" s="82"/>
      <c r="N1" s="83"/>
    </row>
    <row r="2" spans="1:14" ht="39.75" customHeight="1" x14ac:dyDescent="0.25">
      <c r="A2" s="175"/>
      <c r="B2" s="94" t="s">
        <v>142</v>
      </c>
      <c r="C2" s="177"/>
      <c r="D2" s="177"/>
      <c r="E2" s="177"/>
      <c r="F2" s="177"/>
      <c r="G2" s="177"/>
      <c r="H2" s="178"/>
      <c r="I2" s="72" t="s">
        <v>167</v>
      </c>
      <c r="J2" s="73"/>
      <c r="K2" s="73"/>
      <c r="L2" s="73"/>
      <c r="M2" s="73"/>
      <c r="N2" s="74"/>
    </row>
    <row r="3" spans="1:14" ht="39.75" customHeight="1" x14ac:dyDescent="0.25">
      <c r="A3" s="176"/>
      <c r="B3" s="138"/>
      <c r="C3" s="139"/>
      <c r="D3" s="139"/>
      <c r="E3" s="139"/>
      <c r="F3" s="139"/>
      <c r="G3" s="139"/>
      <c r="H3" s="141"/>
      <c r="I3" s="78"/>
      <c r="J3" s="79"/>
      <c r="K3" s="79"/>
      <c r="L3" s="79"/>
      <c r="M3" s="79"/>
      <c r="N3" s="80"/>
    </row>
    <row r="4" spans="1:14" ht="54" customHeight="1" x14ac:dyDescent="0.25">
      <c r="A4" s="175"/>
      <c r="B4" s="94" t="s">
        <v>143</v>
      </c>
      <c r="C4" s="177"/>
      <c r="D4" s="177"/>
      <c r="E4" s="177"/>
      <c r="F4" s="177"/>
      <c r="G4" s="177"/>
      <c r="H4" s="178"/>
      <c r="I4" s="72" t="s">
        <v>384</v>
      </c>
      <c r="J4" s="73"/>
      <c r="K4" s="73"/>
      <c r="L4" s="73"/>
      <c r="M4" s="73"/>
      <c r="N4" s="74"/>
    </row>
    <row r="5" spans="1:14" ht="54" customHeight="1" x14ac:dyDescent="0.25">
      <c r="A5" s="176"/>
      <c r="B5" s="138"/>
      <c r="C5" s="139"/>
      <c r="D5" s="139"/>
      <c r="E5" s="139"/>
      <c r="F5" s="139"/>
      <c r="G5" s="139"/>
      <c r="H5" s="141"/>
      <c r="I5" s="78"/>
      <c r="J5" s="79"/>
      <c r="K5" s="79"/>
      <c r="L5" s="79"/>
      <c r="M5" s="79"/>
      <c r="N5" s="80"/>
    </row>
    <row r="6" spans="1:14" ht="47.25" customHeight="1" x14ac:dyDescent="0.25">
      <c r="A6" s="175"/>
      <c r="B6" s="94" t="s">
        <v>144</v>
      </c>
      <c r="C6" s="177"/>
      <c r="D6" s="177"/>
      <c r="E6" s="177"/>
      <c r="F6" s="177"/>
      <c r="G6" s="177"/>
      <c r="H6" s="178"/>
      <c r="I6" s="72" t="s">
        <v>376</v>
      </c>
      <c r="J6" s="177"/>
      <c r="K6" s="177"/>
      <c r="L6" s="177"/>
      <c r="M6" s="177"/>
      <c r="N6" s="178"/>
    </row>
    <row r="7" spans="1:14" ht="47.25" customHeight="1" x14ac:dyDescent="0.25">
      <c r="A7" s="176"/>
      <c r="B7" s="138"/>
      <c r="C7" s="139"/>
      <c r="D7" s="139"/>
      <c r="E7" s="139"/>
      <c r="F7" s="139"/>
      <c r="G7" s="139"/>
      <c r="H7" s="141"/>
      <c r="I7" s="138"/>
      <c r="J7" s="139"/>
      <c r="K7" s="139"/>
      <c r="L7" s="139"/>
      <c r="M7" s="139"/>
      <c r="N7" s="141"/>
    </row>
    <row r="8" spans="1:14" ht="30.75" customHeight="1" x14ac:dyDescent="0.25">
      <c r="A8" s="81" t="s">
        <v>145</v>
      </c>
      <c r="B8" s="82"/>
      <c r="C8" s="82"/>
      <c r="D8" s="82"/>
      <c r="E8" s="82"/>
      <c r="F8" s="82"/>
      <c r="G8" s="82"/>
      <c r="H8" s="82"/>
      <c r="I8" s="82"/>
      <c r="J8" s="82"/>
      <c r="K8" s="82"/>
      <c r="L8" s="82"/>
      <c r="M8" s="82"/>
      <c r="N8" s="83"/>
    </row>
    <row r="9" spans="1:14" ht="41.25" customHeight="1" x14ac:dyDescent="0.25">
      <c r="A9" s="175"/>
      <c r="B9" s="94" t="s">
        <v>146</v>
      </c>
      <c r="C9" s="177"/>
      <c r="D9" s="177"/>
      <c r="E9" s="177"/>
      <c r="F9" s="177"/>
      <c r="G9" s="177"/>
      <c r="H9" s="178"/>
      <c r="I9" s="179"/>
      <c r="J9" s="116"/>
      <c r="K9" s="116"/>
      <c r="L9" s="116"/>
      <c r="M9" s="116"/>
      <c r="N9" s="117"/>
    </row>
    <row r="10" spans="1:14" ht="41.25" customHeight="1" x14ac:dyDescent="0.25">
      <c r="A10" s="176"/>
      <c r="B10" s="138"/>
      <c r="C10" s="139"/>
      <c r="D10" s="139"/>
      <c r="E10" s="139"/>
      <c r="F10" s="139"/>
      <c r="G10" s="139"/>
      <c r="H10" s="141"/>
      <c r="I10" s="118"/>
      <c r="J10" s="119"/>
      <c r="K10" s="119"/>
      <c r="L10" s="119"/>
      <c r="M10" s="119"/>
      <c r="N10" s="120"/>
    </row>
    <row r="11" spans="1:14" ht="30" customHeight="1" x14ac:dyDescent="0.25">
      <c r="A11" s="81" t="s">
        <v>187</v>
      </c>
      <c r="B11" s="82"/>
      <c r="C11" s="82"/>
      <c r="D11" s="82"/>
      <c r="E11" s="82"/>
      <c r="F11" s="82"/>
      <c r="G11" s="82"/>
      <c r="H11" s="82"/>
      <c r="I11" s="82"/>
      <c r="J11" s="82"/>
      <c r="K11" s="82"/>
      <c r="L11" s="82"/>
      <c r="M11" s="82"/>
      <c r="N11" s="83"/>
    </row>
    <row r="12" spans="1:14" ht="30" customHeight="1" x14ac:dyDescent="0.25">
      <c r="A12" s="175"/>
      <c r="B12" s="94" t="s">
        <v>188</v>
      </c>
      <c r="C12" s="177"/>
      <c r="D12" s="177"/>
      <c r="E12" s="177"/>
      <c r="F12" s="177"/>
      <c r="G12" s="177"/>
      <c r="H12" s="178"/>
      <c r="I12" s="179"/>
      <c r="J12" s="116"/>
      <c r="K12" s="116"/>
      <c r="L12" s="116"/>
      <c r="M12" s="116"/>
      <c r="N12" s="117"/>
    </row>
    <row r="13" spans="1:14" ht="30" customHeight="1" x14ac:dyDescent="0.25">
      <c r="A13" s="176"/>
      <c r="B13" s="138"/>
      <c r="C13" s="139"/>
      <c r="D13" s="139"/>
      <c r="E13" s="139"/>
      <c r="F13" s="139"/>
      <c r="G13" s="139"/>
      <c r="H13" s="141"/>
      <c r="I13" s="118"/>
      <c r="J13" s="119"/>
      <c r="K13" s="119"/>
      <c r="L13" s="119"/>
      <c r="M13" s="119"/>
      <c r="N13" s="120"/>
    </row>
  </sheetData>
  <mergeCells count="18">
    <mergeCell ref="A11:N11"/>
    <mergeCell ref="A12:A13"/>
    <mergeCell ref="B12:H13"/>
    <mergeCell ref="I12:N13"/>
    <mergeCell ref="A2:A3"/>
    <mergeCell ref="B2:H3"/>
    <mergeCell ref="I2:N3"/>
    <mergeCell ref="A1:N1"/>
    <mergeCell ref="A4:A5"/>
    <mergeCell ref="A9:A10"/>
    <mergeCell ref="B9:H10"/>
    <mergeCell ref="I6:N7"/>
    <mergeCell ref="I9:N10"/>
    <mergeCell ref="B4:H5"/>
    <mergeCell ref="I4:N5"/>
    <mergeCell ref="A6:A7"/>
    <mergeCell ref="B6:H7"/>
    <mergeCell ref="A8:N8"/>
  </mergeCells>
  <pageMargins left="0.7" right="0.7" top="0.75" bottom="0.75" header="0.3" footer="0.3"/>
  <pageSetup paperSize="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8</vt:i4>
      </vt:variant>
    </vt:vector>
  </HeadingPairs>
  <TitlesOfParts>
    <vt:vector size="8" baseType="lpstr">
      <vt:lpstr>Introduktion</vt:lpstr>
      <vt:lpstr>Resume og scope</vt:lpstr>
      <vt:lpstr>Beskrivelse af aktivitet</vt:lpstr>
      <vt:lpstr>Vurdering af lovlighed</vt:lpstr>
      <vt:lpstr>Evalueringskriterier</vt:lpstr>
      <vt:lpstr>Risici</vt:lpstr>
      <vt:lpstr>Mitigerende foranstaltninger</vt:lpstr>
      <vt:lpstr>Interessentinddragelse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Kalundborg Kommune</dc:creator>
  <cp:lastModifiedBy>Kalundborg Kommune</cp:lastModifiedBy>
  <cp:lastPrinted>2024-04-05T07:25:57Z</cp:lastPrinted>
  <dcterms:created xsi:type="dcterms:W3CDTF">2024-02-14T11:48:56Z</dcterms:created>
  <dcterms:modified xsi:type="dcterms:W3CDTF">2024-05-22T12:11:12Z</dcterms:modified>
</cp:coreProperties>
</file>